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el.Faurax\OneDrive - Britoil Offshore Services Pte Ltd\"/>
    </mc:Choice>
  </mc:AlternateContent>
  <xr:revisionPtr revIDLastSave="0" documentId="13_ncr:1_{10EA246E-B88E-4322-AD10-B37DD069D84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racker" sheetId="1" r:id="rId1"/>
    <sheet name="Summary" sheetId="2" r:id="rId2"/>
    <sheet name="Sheet1" sheetId="3" r:id="rId3"/>
    <sheet name="Sheet2" sheetId="4" r:id="rId4"/>
    <sheet name="Sheet3" sheetId="5" r:id="rId5"/>
    <sheet name="Sheet4" sheetId="6" r:id="rId6"/>
  </sheets>
  <definedNames>
    <definedName name="_xlnm._FilterDatabase" localSheetId="0" hidden="1">Tracker!$B$8:$K$471</definedName>
    <definedName name="BOSDubai" comment="Ce sont les bateaux a dubai">Tracker!$C$9:$C$122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AD117" i="1"/>
  <c r="AD7" i="1"/>
  <c r="U429" i="1" a="1"/>
  <c r="U429" i="1" s="1"/>
  <c r="U421" i="1" a="1"/>
  <c r="U421" i="1" s="1"/>
  <c r="U412" i="1" a="1"/>
  <c r="U412" i="1" s="1"/>
  <c r="U413" i="1" a="1"/>
  <c r="U413" i="1" s="1"/>
  <c r="U414" i="1" a="1"/>
  <c r="U414" i="1"/>
  <c r="U416" i="1" a="1"/>
  <c r="U416" i="1"/>
  <c r="U417" i="1" a="1"/>
  <c r="U417" i="1"/>
  <c r="U418" i="1" a="1"/>
  <c r="U418" i="1" s="1"/>
  <c r="U419" i="1" a="1"/>
  <c r="U419" i="1" s="1"/>
  <c r="U420" i="1" a="1"/>
  <c r="U420" i="1" s="1"/>
  <c r="U422" i="1" a="1"/>
  <c r="U422" i="1" s="1"/>
  <c r="U423" i="1" a="1"/>
  <c r="U423" i="1" s="1"/>
  <c r="U425" i="1" a="1"/>
  <c r="U425" i="1" s="1"/>
  <c r="U426" i="1" a="1"/>
  <c r="U426" i="1" s="1"/>
  <c r="U427" i="1" a="1"/>
  <c r="U427" i="1" s="1"/>
  <c r="U428" i="1" a="1"/>
  <c r="U428" i="1" s="1"/>
  <c r="H412" i="1"/>
  <c r="I412" i="1"/>
  <c r="J412" i="1"/>
  <c r="H413" i="1"/>
  <c r="I413" i="1"/>
  <c r="J413" i="1"/>
  <c r="H416" i="1"/>
  <c r="I416" i="1"/>
  <c r="J416" i="1"/>
  <c r="H417" i="1"/>
  <c r="I417" i="1"/>
  <c r="J417" i="1"/>
  <c r="H418" i="1"/>
  <c r="I418" i="1"/>
  <c r="J418" i="1"/>
  <c r="H420" i="1"/>
  <c r="I420" i="1"/>
  <c r="J420" i="1"/>
  <c r="H421" i="1"/>
  <c r="I421" i="1"/>
  <c r="J421" i="1"/>
  <c r="H422" i="1"/>
  <c r="I422" i="1"/>
  <c r="J422" i="1"/>
  <c r="H423" i="1"/>
  <c r="I423" i="1"/>
  <c r="J423" i="1"/>
  <c r="H424" i="1"/>
  <c r="I424" i="1"/>
  <c r="J424" i="1"/>
  <c r="H425" i="1"/>
  <c r="I425" i="1"/>
  <c r="J425" i="1"/>
  <c r="H426" i="1"/>
  <c r="I426" i="1"/>
  <c r="J426" i="1"/>
  <c r="H428" i="1"/>
  <c r="I428" i="1"/>
  <c r="J428" i="1"/>
  <c r="H429" i="1"/>
  <c r="I429" i="1"/>
  <c r="J429" i="1"/>
  <c r="H430" i="1"/>
  <c r="I430" i="1"/>
  <c r="J430" i="1"/>
  <c r="H431" i="1"/>
  <c r="I431" i="1"/>
  <c r="J431" i="1"/>
  <c r="H10" i="1"/>
  <c r="I10" i="1"/>
  <c r="J10" i="1"/>
  <c r="H11" i="1"/>
  <c r="I11" i="1"/>
  <c r="J11" i="1"/>
  <c r="H12" i="1"/>
  <c r="I12" i="1"/>
  <c r="J12" i="1"/>
  <c r="H13" i="1"/>
  <c r="I13" i="1"/>
  <c r="J13" i="1"/>
  <c r="H14" i="1"/>
  <c r="I14" i="1"/>
  <c r="J14" i="1"/>
  <c r="H15" i="1"/>
  <c r="I15" i="1"/>
  <c r="J15" i="1"/>
  <c r="H16" i="1"/>
  <c r="I16" i="1"/>
  <c r="J16" i="1"/>
  <c r="H18" i="1"/>
  <c r="I18" i="1"/>
  <c r="J18" i="1"/>
  <c r="H19" i="1"/>
  <c r="I19" i="1"/>
  <c r="J19" i="1"/>
  <c r="H21" i="1"/>
  <c r="I21" i="1"/>
  <c r="J21" i="1"/>
  <c r="H24" i="1"/>
  <c r="I24" i="1"/>
  <c r="J24" i="1"/>
  <c r="H26" i="1"/>
  <c r="I26" i="1"/>
  <c r="J26" i="1"/>
  <c r="H27" i="1"/>
  <c r="I27" i="1"/>
  <c r="J27" i="1"/>
  <c r="H29" i="1"/>
  <c r="I29" i="1"/>
  <c r="J29" i="1"/>
  <c r="H31" i="1"/>
  <c r="I31" i="1"/>
  <c r="J31" i="1"/>
  <c r="H32" i="1"/>
  <c r="I32" i="1"/>
  <c r="J32" i="1"/>
  <c r="H34" i="1"/>
  <c r="I34" i="1"/>
  <c r="J34" i="1"/>
  <c r="H36" i="1"/>
  <c r="I36" i="1"/>
  <c r="J36" i="1"/>
  <c r="H37" i="1"/>
  <c r="I37" i="1"/>
  <c r="J37" i="1"/>
  <c r="H39" i="1"/>
  <c r="I39" i="1"/>
  <c r="J39" i="1"/>
  <c r="H41" i="1"/>
  <c r="I41" i="1"/>
  <c r="J41" i="1"/>
  <c r="H43" i="1"/>
  <c r="I43" i="1"/>
  <c r="J43" i="1"/>
  <c r="H45" i="1"/>
  <c r="I45" i="1"/>
  <c r="J45" i="1"/>
  <c r="H47" i="1"/>
  <c r="I47" i="1"/>
  <c r="J47" i="1"/>
  <c r="H48" i="1"/>
  <c r="I48" i="1"/>
  <c r="J48" i="1"/>
  <c r="H49" i="1"/>
  <c r="I49" i="1"/>
  <c r="J49" i="1"/>
  <c r="H50" i="1"/>
  <c r="I50" i="1"/>
  <c r="J50" i="1"/>
  <c r="H52" i="1"/>
  <c r="I52" i="1"/>
  <c r="J52" i="1"/>
  <c r="H53" i="1"/>
  <c r="I53" i="1"/>
  <c r="J53" i="1"/>
  <c r="H54" i="1"/>
  <c r="I54" i="1"/>
  <c r="J54" i="1"/>
  <c r="H55" i="1"/>
  <c r="I55" i="1"/>
  <c r="J55" i="1"/>
  <c r="H57" i="1"/>
  <c r="I57" i="1"/>
  <c r="J57" i="1"/>
  <c r="H58" i="1"/>
  <c r="I58" i="1"/>
  <c r="J58" i="1"/>
  <c r="H60" i="1"/>
  <c r="I60" i="1"/>
  <c r="J60" i="1"/>
  <c r="H62" i="1"/>
  <c r="I62" i="1"/>
  <c r="J62" i="1"/>
  <c r="H63" i="1"/>
  <c r="I63" i="1"/>
  <c r="J63" i="1"/>
  <c r="H65" i="1"/>
  <c r="I65" i="1"/>
  <c r="J65" i="1"/>
  <c r="H67" i="1"/>
  <c r="I67" i="1"/>
  <c r="J67" i="1"/>
  <c r="H69" i="1"/>
  <c r="I69" i="1"/>
  <c r="J69" i="1"/>
  <c r="H70" i="1"/>
  <c r="I70" i="1"/>
  <c r="J70" i="1"/>
  <c r="H73" i="1"/>
  <c r="I73" i="1"/>
  <c r="J73" i="1"/>
  <c r="H74" i="1"/>
  <c r="I74" i="1"/>
  <c r="J74" i="1"/>
  <c r="H75" i="1"/>
  <c r="I75" i="1"/>
  <c r="J75" i="1"/>
  <c r="H76" i="1"/>
  <c r="I76" i="1"/>
  <c r="J76" i="1"/>
  <c r="H80" i="1"/>
  <c r="I80" i="1"/>
  <c r="J80" i="1"/>
  <c r="H81" i="1"/>
  <c r="I81" i="1"/>
  <c r="J81" i="1"/>
  <c r="H84" i="1"/>
  <c r="I84" i="1"/>
  <c r="J84" i="1"/>
  <c r="H85" i="1"/>
  <c r="I85" i="1"/>
  <c r="J85" i="1"/>
  <c r="H86" i="1"/>
  <c r="I86" i="1"/>
  <c r="J86" i="1"/>
  <c r="H88" i="1"/>
  <c r="I88" i="1"/>
  <c r="J88" i="1"/>
  <c r="H90" i="1"/>
  <c r="I90" i="1"/>
  <c r="J90" i="1"/>
  <c r="H91" i="1"/>
  <c r="I91" i="1"/>
  <c r="J91" i="1"/>
  <c r="H93" i="1"/>
  <c r="I93" i="1"/>
  <c r="J93" i="1"/>
  <c r="H94" i="1"/>
  <c r="I94" i="1"/>
  <c r="J94" i="1"/>
  <c r="H95" i="1"/>
  <c r="I95" i="1"/>
  <c r="J95" i="1"/>
  <c r="H97" i="1"/>
  <c r="I97" i="1"/>
  <c r="J97" i="1"/>
  <c r="H102" i="1"/>
  <c r="I102" i="1"/>
  <c r="J102" i="1"/>
  <c r="H104" i="1"/>
  <c r="I104" i="1"/>
  <c r="J104" i="1"/>
  <c r="H106" i="1"/>
  <c r="I106" i="1"/>
  <c r="J106" i="1"/>
  <c r="H107" i="1"/>
  <c r="I107" i="1"/>
  <c r="J107" i="1"/>
  <c r="H110" i="1"/>
  <c r="I110" i="1"/>
  <c r="J110" i="1"/>
  <c r="H111" i="1"/>
  <c r="I111" i="1"/>
  <c r="J111" i="1"/>
  <c r="H113" i="1"/>
  <c r="I113" i="1"/>
  <c r="J113" i="1"/>
  <c r="H115" i="1"/>
  <c r="I115" i="1"/>
  <c r="J115" i="1"/>
  <c r="H117" i="1"/>
  <c r="I117" i="1"/>
  <c r="J117" i="1"/>
  <c r="H118" i="1"/>
  <c r="I118" i="1"/>
  <c r="J118" i="1"/>
  <c r="H119" i="1"/>
  <c r="I119" i="1"/>
  <c r="J119" i="1"/>
  <c r="H121" i="1"/>
  <c r="I121" i="1"/>
  <c r="J121" i="1"/>
  <c r="H123" i="1"/>
  <c r="I123" i="1"/>
  <c r="J123" i="1"/>
  <c r="H125" i="1"/>
  <c r="I125" i="1"/>
  <c r="J125" i="1"/>
  <c r="H126" i="1"/>
  <c r="I126" i="1"/>
  <c r="J126" i="1"/>
  <c r="H127" i="1"/>
  <c r="I127" i="1"/>
  <c r="J127" i="1"/>
  <c r="H128" i="1"/>
  <c r="I128" i="1"/>
  <c r="J128" i="1"/>
  <c r="H131" i="1"/>
  <c r="I131" i="1"/>
  <c r="J131" i="1"/>
  <c r="H133" i="1"/>
  <c r="I133" i="1"/>
  <c r="J133" i="1"/>
  <c r="H137" i="1"/>
  <c r="I137" i="1"/>
  <c r="J137" i="1"/>
  <c r="H138" i="1"/>
  <c r="I138" i="1"/>
  <c r="J138" i="1"/>
  <c r="H139" i="1"/>
  <c r="I139" i="1"/>
  <c r="J139" i="1"/>
  <c r="H140" i="1"/>
  <c r="I140" i="1"/>
  <c r="J140" i="1"/>
  <c r="H141" i="1"/>
  <c r="I141" i="1"/>
  <c r="J141" i="1"/>
  <c r="H145" i="1"/>
  <c r="I145" i="1"/>
  <c r="J145" i="1"/>
  <c r="H147" i="1"/>
  <c r="I147" i="1"/>
  <c r="J147" i="1"/>
  <c r="H148" i="1"/>
  <c r="I148" i="1"/>
  <c r="J148" i="1"/>
  <c r="H149" i="1"/>
  <c r="I149" i="1"/>
  <c r="J149" i="1"/>
  <c r="H150" i="1"/>
  <c r="I150" i="1"/>
  <c r="J150" i="1"/>
  <c r="H151" i="1"/>
  <c r="I151" i="1"/>
  <c r="J151" i="1"/>
  <c r="H152" i="1"/>
  <c r="I152" i="1"/>
  <c r="J152" i="1"/>
  <c r="H153" i="1"/>
  <c r="I153" i="1"/>
  <c r="J153" i="1"/>
  <c r="H155" i="1"/>
  <c r="I155" i="1"/>
  <c r="J155" i="1"/>
  <c r="H158" i="1"/>
  <c r="I158" i="1"/>
  <c r="J158" i="1"/>
  <c r="H159" i="1"/>
  <c r="I159" i="1"/>
  <c r="J159" i="1"/>
  <c r="H160" i="1"/>
  <c r="I160" i="1"/>
  <c r="J160" i="1"/>
  <c r="H161" i="1"/>
  <c r="I161" i="1"/>
  <c r="J161" i="1"/>
  <c r="H164" i="1"/>
  <c r="I164" i="1"/>
  <c r="J164" i="1"/>
  <c r="H165" i="1"/>
  <c r="I165" i="1"/>
  <c r="J165" i="1"/>
  <c r="H166" i="1"/>
  <c r="I166" i="1"/>
  <c r="J166" i="1"/>
  <c r="H167" i="1"/>
  <c r="I167" i="1"/>
  <c r="J167" i="1"/>
  <c r="H170" i="1"/>
  <c r="I170" i="1"/>
  <c r="J170" i="1"/>
  <c r="H171" i="1"/>
  <c r="I171" i="1"/>
  <c r="J171" i="1"/>
  <c r="H172" i="1"/>
  <c r="I172" i="1"/>
  <c r="J172" i="1"/>
  <c r="H173" i="1"/>
  <c r="I173" i="1"/>
  <c r="J173" i="1"/>
  <c r="H176" i="1"/>
  <c r="I176" i="1"/>
  <c r="J176" i="1"/>
  <c r="H177" i="1"/>
  <c r="I177" i="1"/>
  <c r="J177" i="1"/>
  <c r="H178" i="1"/>
  <c r="I178" i="1"/>
  <c r="J178" i="1"/>
  <c r="H179" i="1"/>
  <c r="I179" i="1"/>
  <c r="J179" i="1"/>
  <c r="H183" i="1"/>
  <c r="I183" i="1"/>
  <c r="J183" i="1"/>
  <c r="H185" i="1"/>
  <c r="I185" i="1"/>
  <c r="J185" i="1"/>
  <c r="H189" i="1"/>
  <c r="I189" i="1"/>
  <c r="J189" i="1"/>
  <c r="H191" i="1"/>
  <c r="I191" i="1"/>
  <c r="J191" i="1"/>
  <c r="H192" i="1"/>
  <c r="I192" i="1"/>
  <c r="J192" i="1"/>
  <c r="H193" i="1"/>
  <c r="I193" i="1"/>
  <c r="J193" i="1"/>
  <c r="H194" i="1"/>
  <c r="I194" i="1"/>
  <c r="J194" i="1"/>
  <c r="H195" i="1"/>
  <c r="I195" i="1"/>
  <c r="J195" i="1"/>
  <c r="H197" i="1"/>
  <c r="I197" i="1"/>
  <c r="J197" i="1"/>
  <c r="H198" i="1"/>
  <c r="I198" i="1"/>
  <c r="J198" i="1"/>
  <c r="H200" i="1"/>
  <c r="I200" i="1"/>
  <c r="J200" i="1"/>
  <c r="H201" i="1"/>
  <c r="I201" i="1"/>
  <c r="J201" i="1"/>
  <c r="H202" i="1"/>
  <c r="I202" i="1"/>
  <c r="J202" i="1"/>
  <c r="H203" i="1"/>
  <c r="I203" i="1"/>
  <c r="J203" i="1"/>
  <c r="H204" i="1"/>
  <c r="I204" i="1"/>
  <c r="J204" i="1"/>
  <c r="H206" i="1"/>
  <c r="I206" i="1"/>
  <c r="J206" i="1"/>
  <c r="H207" i="1"/>
  <c r="I207" i="1"/>
  <c r="J207" i="1"/>
  <c r="H208" i="1"/>
  <c r="I208" i="1"/>
  <c r="J208" i="1"/>
  <c r="H210" i="1"/>
  <c r="I210" i="1"/>
  <c r="J210" i="1"/>
  <c r="H211" i="1"/>
  <c r="I211" i="1"/>
  <c r="J211" i="1"/>
  <c r="H212" i="1"/>
  <c r="I212" i="1"/>
  <c r="J212" i="1"/>
  <c r="H214" i="1"/>
  <c r="I214" i="1"/>
  <c r="J214" i="1"/>
  <c r="H216" i="1"/>
  <c r="I216" i="1"/>
  <c r="J216" i="1"/>
  <c r="H217" i="1"/>
  <c r="I217" i="1"/>
  <c r="J217" i="1"/>
  <c r="H218" i="1"/>
  <c r="I218" i="1"/>
  <c r="J218" i="1"/>
  <c r="H220" i="1"/>
  <c r="I220" i="1"/>
  <c r="J220" i="1"/>
  <c r="H222" i="1"/>
  <c r="I222" i="1"/>
  <c r="J222" i="1"/>
  <c r="H223" i="1"/>
  <c r="I223" i="1"/>
  <c r="J223" i="1"/>
  <c r="H225" i="1"/>
  <c r="I225" i="1"/>
  <c r="J225" i="1"/>
  <c r="H226" i="1"/>
  <c r="I226" i="1"/>
  <c r="J226" i="1"/>
  <c r="H228" i="1"/>
  <c r="I228" i="1"/>
  <c r="J228" i="1"/>
  <c r="H229" i="1"/>
  <c r="I229" i="1"/>
  <c r="J229" i="1"/>
  <c r="H231" i="1"/>
  <c r="I231" i="1"/>
  <c r="J231" i="1"/>
  <c r="H232" i="1"/>
  <c r="I232" i="1"/>
  <c r="J232" i="1"/>
  <c r="H234" i="1"/>
  <c r="I234" i="1"/>
  <c r="J234" i="1"/>
  <c r="H235" i="1"/>
  <c r="I235" i="1"/>
  <c r="J235" i="1"/>
  <c r="H238" i="1"/>
  <c r="I238" i="1"/>
  <c r="J238" i="1"/>
  <c r="H239" i="1"/>
  <c r="I239" i="1"/>
  <c r="J239" i="1"/>
  <c r="H240" i="1"/>
  <c r="I240" i="1"/>
  <c r="J240" i="1"/>
  <c r="H241" i="1"/>
  <c r="I241" i="1"/>
  <c r="J241" i="1"/>
  <c r="H242" i="1"/>
  <c r="I242" i="1"/>
  <c r="J242" i="1"/>
  <c r="H243" i="1"/>
  <c r="I243" i="1"/>
  <c r="J243" i="1"/>
  <c r="H244" i="1"/>
  <c r="I244" i="1"/>
  <c r="J244" i="1"/>
  <c r="H245" i="1"/>
  <c r="I245" i="1"/>
  <c r="J245" i="1"/>
  <c r="H246" i="1"/>
  <c r="I246" i="1"/>
  <c r="J246" i="1"/>
  <c r="H247" i="1"/>
  <c r="I247" i="1"/>
  <c r="J247" i="1"/>
  <c r="H248" i="1"/>
  <c r="I248" i="1"/>
  <c r="J248" i="1"/>
  <c r="H249" i="1"/>
  <c r="I249" i="1"/>
  <c r="J249" i="1"/>
  <c r="H250" i="1"/>
  <c r="I250" i="1"/>
  <c r="J250" i="1"/>
  <c r="H251" i="1"/>
  <c r="I251" i="1"/>
  <c r="J251" i="1"/>
  <c r="H257" i="1"/>
  <c r="I257" i="1"/>
  <c r="J257" i="1"/>
  <c r="H258" i="1"/>
  <c r="I258" i="1"/>
  <c r="J258" i="1"/>
  <c r="H263" i="1"/>
  <c r="I263" i="1"/>
  <c r="J263" i="1"/>
  <c r="H265" i="1"/>
  <c r="I265" i="1"/>
  <c r="J265" i="1"/>
  <c r="H267" i="1"/>
  <c r="I267" i="1"/>
  <c r="J267" i="1"/>
  <c r="H270" i="1"/>
  <c r="I270" i="1"/>
  <c r="J270" i="1"/>
  <c r="H271" i="1"/>
  <c r="I271" i="1"/>
  <c r="J271" i="1"/>
  <c r="H272" i="1"/>
  <c r="I272" i="1"/>
  <c r="J272" i="1"/>
  <c r="H275" i="1"/>
  <c r="I275" i="1"/>
  <c r="J275" i="1"/>
  <c r="H278" i="1"/>
  <c r="I278" i="1"/>
  <c r="J278" i="1"/>
  <c r="H279" i="1"/>
  <c r="I279" i="1"/>
  <c r="J279" i="1"/>
  <c r="H280" i="1"/>
  <c r="I280" i="1"/>
  <c r="J280" i="1"/>
  <c r="H281" i="1"/>
  <c r="I281" i="1"/>
  <c r="J281" i="1"/>
  <c r="H283" i="1"/>
  <c r="I283" i="1"/>
  <c r="J283" i="1"/>
  <c r="H284" i="1"/>
  <c r="I284" i="1"/>
  <c r="J284" i="1"/>
  <c r="H285" i="1"/>
  <c r="I285" i="1"/>
  <c r="J285" i="1"/>
  <c r="H286" i="1"/>
  <c r="I286" i="1"/>
  <c r="J286" i="1"/>
  <c r="H287" i="1"/>
  <c r="I287" i="1"/>
  <c r="J287" i="1"/>
  <c r="H288" i="1"/>
  <c r="I288" i="1"/>
  <c r="J288" i="1"/>
  <c r="H289" i="1"/>
  <c r="I289" i="1"/>
  <c r="J289" i="1"/>
  <c r="H290" i="1"/>
  <c r="I290" i="1"/>
  <c r="J290" i="1"/>
  <c r="H292" i="1"/>
  <c r="I292" i="1"/>
  <c r="J292" i="1"/>
  <c r="H293" i="1"/>
  <c r="I293" i="1"/>
  <c r="J293" i="1"/>
  <c r="H294" i="1"/>
  <c r="I294" i="1"/>
  <c r="J294" i="1"/>
  <c r="H295" i="1"/>
  <c r="I295" i="1"/>
  <c r="J295" i="1"/>
  <c r="H296" i="1"/>
  <c r="I296" i="1"/>
  <c r="J296" i="1"/>
  <c r="H298" i="1"/>
  <c r="I298" i="1"/>
  <c r="J298" i="1"/>
  <c r="H299" i="1"/>
  <c r="I299" i="1"/>
  <c r="J299" i="1"/>
  <c r="H300" i="1"/>
  <c r="I300" i="1"/>
  <c r="J300" i="1"/>
  <c r="H302" i="1"/>
  <c r="I302" i="1"/>
  <c r="J302" i="1"/>
  <c r="H303" i="1"/>
  <c r="I303" i="1"/>
  <c r="J303" i="1"/>
  <c r="H305" i="1"/>
  <c r="I305" i="1"/>
  <c r="J305" i="1"/>
  <c r="H306" i="1"/>
  <c r="I306" i="1"/>
  <c r="J306" i="1"/>
  <c r="H307" i="1"/>
  <c r="I307" i="1"/>
  <c r="J307" i="1"/>
  <c r="H309" i="1"/>
  <c r="I309" i="1"/>
  <c r="J309" i="1"/>
  <c r="H310" i="1"/>
  <c r="I310" i="1"/>
  <c r="J310" i="1"/>
  <c r="H312" i="1"/>
  <c r="I312" i="1"/>
  <c r="J312" i="1"/>
  <c r="H314" i="1"/>
  <c r="I314" i="1"/>
  <c r="J314" i="1"/>
  <c r="H315" i="1"/>
  <c r="I315" i="1"/>
  <c r="J315" i="1"/>
  <c r="H316" i="1"/>
  <c r="I316" i="1"/>
  <c r="J316" i="1"/>
  <c r="H317" i="1"/>
  <c r="I317" i="1"/>
  <c r="J317" i="1"/>
  <c r="H319" i="1"/>
  <c r="I319" i="1"/>
  <c r="J319" i="1"/>
  <c r="H320" i="1"/>
  <c r="I320" i="1"/>
  <c r="J320" i="1"/>
  <c r="H321" i="1"/>
  <c r="I321" i="1"/>
  <c r="J321" i="1"/>
  <c r="H322" i="1"/>
  <c r="I322" i="1"/>
  <c r="J322" i="1"/>
  <c r="H323" i="1"/>
  <c r="I323" i="1"/>
  <c r="J323" i="1"/>
  <c r="H324" i="1"/>
  <c r="I324" i="1"/>
  <c r="J324" i="1"/>
  <c r="H326" i="1"/>
  <c r="I326" i="1"/>
  <c r="J326" i="1"/>
  <c r="H329" i="1"/>
  <c r="I329" i="1"/>
  <c r="J329" i="1"/>
  <c r="H330" i="1"/>
  <c r="I330" i="1"/>
  <c r="J330" i="1"/>
  <c r="H332" i="1"/>
  <c r="I332" i="1"/>
  <c r="J332" i="1"/>
  <c r="H334" i="1"/>
  <c r="I334" i="1"/>
  <c r="J334" i="1"/>
  <c r="H337" i="1"/>
  <c r="I337" i="1"/>
  <c r="J337" i="1"/>
  <c r="H339" i="1"/>
  <c r="I339" i="1"/>
  <c r="J339" i="1"/>
  <c r="H341" i="1"/>
  <c r="I341" i="1"/>
  <c r="J341" i="1"/>
  <c r="H343" i="1"/>
  <c r="I343" i="1"/>
  <c r="J343" i="1"/>
  <c r="H344" i="1"/>
  <c r="I344" i="1"/>
  <c r="J344" i="1"/>
  <c r="H345" i="1"/>
  <c r="I345" i="1"/>
  <c r="J345" i="1"/>
  <c r="H347" i="1"/>
  <c r="I347" i="1"/>
  <c r="J347" i="1"/>
  <c r="H349" i="1"/>
  <c r="I349" i="1"/>
  <c r="J349" i="1"/>
  <c r="H351" i="1"/>
  <c r="I351" i="1"/>
  <c r="J351" i="1"/>
  <c r="H353" i="1"/>
  <c r="I353" i="1"/>
  <c r="J353" i="1"/>
  <c r="H355" i="1"/>
  <c r="I355" i="1"/>
  <c r="J355" i="1"/>
  <c r="H356" i="1"/>
  <c r="I356" i="1"/>
  <c r="J356" i="1"/>
  <c r="H357" i="1"/>
  <c r="I357" i="1"/>
  <c r="J357" i="1"/>
  <c r="H358" i="1"/>
  <c r="I358" i="1"/>
  <c r="J358" i="1"/>
  <c r="H359" i="1"/>
  <c r="I359" i="1"/>
  <c r="J359" i="1"/>
  <c r="H360" i="1"/>
  <c r="I360" i="1"/>
  <c r="J360" i="1"/>
  <c r="H362" i="1"/>
  <c r="I362" i="1"/>
  <c r="J362" i="1"/>
  <c r="H364" i="1"/>
  <c r="I364" i="1"/>
  <c r="J364" i="1"/>
  <c r="H365" i="1"/>
  <c r="I365" i="1"/>
  <c r="J365" i="1"/>
  <c r="H366" i="1"/>
  <c r="I366" i="1"/>
  <c r="J366" i="1"/>
  <c r="H369" i="1"/>
  <c r="I369" i="1"/>
  <c r="J369" i="1"/>
  <c r="H370" i="1"/>
  <c r="I370" i="1"/>
  <c r="J370" i="1"/>
  <c r="H373" i="1"/>
  <c r="I373" i="1"/>
  <c r="J373" i="1"/>
  <c r="H374" i="1"/>
  <c r="I374" i="1"/>
  <c r="J374" i="1"/>
  <c r="H375" i="1"/>
  <c r="I375" i="1"/>
  <c r="J375" i="1"/>
  <c r="H376" i="1"/>
  <c r="I376" i="1"/>
  <c r="J376" i="1"/>
  <c r="H378" i="1"/>
  <c r="I378" i="1"/>
  <c r="J378" i="1"/>
  <c r="H379" i="1"/>
  <c r="I379" i="1"/>
  <c r="J379" i="1"/>
  <c r="H380" i="1"/>
  <c r="I380" i="1"/>
  <c r="J380" i="1"/>
  <c r="H381" i="1"/>
  <c r="I381" i="1"/>
  <c r="J381" i="1"/>
  <c r="H382" i="1"/>
  <c r="I382" i="1"/>
  <c r="J382" i="1"/>
  <c r="H384" i="1"/>
  <c r="I384" i="1"/>
  <c r="J384" i="1"/>
  <c r="H385" i="1"/>
  <c r="I385" i="1"/>
  <c r="J385" i="1"/>
  <c r="H386" i="1"/>
  <c r="I386" i="1"/>
  <c r="J386" i="1"/>
  <c r="H387" i="1"/>
  <c r="I387" i="1"/>
  <c r="J387" i="1"/>
  <c r="H388" i="1"/>
  <c r="I388" i="1"/>
  <c r="J388" i="1"/>
  <c r="H389" i="1"/>
  <c r="I389" i="1"/>
  <c r="J389" i="1"/>
  <c r="H391" i="1"/>
  <c r="I391" i="1"/>
  <c r="J391" i="1"/>
  <c r="H393" i="1"/>
  <c r="I393" i="1"/>
  <c r="J393" i="1"/>
  <c r="H394" i="1"/>
  <c r="I394" i="1"/>
  <c r="J394" i="1"/>
  <c r="H395" i="1"/>
  <c r="I395" i="1"/>
  <c r="J395" i="1"/>
  <c r="H396" i="1"/>
  <c r="I396" i="1"/>
  <c r="J396" i="1"/>
  <c r="H397" i="1"/>
  <c r="I397" i="1"/>
  <c r="J397" i="1"/>
  <c r="H398" i="1"/>
  <c r="I398" i="1"/>
  <c r="J398" i="1"/>
  <c r="H399" i="1"/>
  <c r="I399" i="1"/>
  <c r="J399" i="1"/>
  <c r="H400" i="1"/>
  <c r="I400" i="1"/>
  <c r="J400" i="1"/>
  <c r="H402" i="1"/>
  <c r="I402" i="1"/>
  <c r="J402" i="1"/>
  <c r="H403" i="1"/>
  <c r="I403" i="1"/>
  <c r="J403" i="1"/>
  <c r="H404" i="1"/>
  <c r="I404" i="1"/>
  <c r="J404" i="1"/>
  <c r="H405" i="1"/>
  <c r="I405" i="1"/>
  <c r="J405" i="1"/>
  <c r="H406" i="1"/>
  <c r="I406" i="1"/>
  <c r="J406" i="1"/>
  <c r="H432" i="1"/>
  <c r="I432" i="1"/>
  <c r="J432" i="1"/>
  <c r="H433" i="1"/>
  <c r="I433" i="1"/>
  <c r="J433" i="1"/>
  <c r="H434" i="1"/>
  <c r="I434" i="1"/>
  <c r="J434" i="1"/>
  <c r="H436" i="1"/>
  <c r="I436" i="1"/>
  <c r="J436" i="1"/>
  <c r="H437" i="1"/>
  <c r="I437" i="1"/>
  <c r="J437" i="1"/>
  <c r="H438" i="1"/>
  <c r="I438" i="1"/>
  <c r="J438" i="1"/>
  <c r="H439" i="1"/>
  <c r="I439" i="1"/>
  <c r="J439" i="1"/>
  <c r="H440" i="1"/>
  <c r="I440" i="1"/>
  <c r="J440" i="1"/>
  <c r="H441" i="1"/>
  <c r="I441" i="1"/>
  <c r="J441" i="1"/>
  <c r="H442" i="1"/>
  <c r="I442" i="1"/>
  <c r="J442" i="1"/>
  <c r="H443" i="1"/>
  <c r="I443" i="1"/>
  <c r="J443" i="1"/>
  <c r="H444" i="1"/>
  <c r="I444" i="1"/>
  <c r="J444" i="1"/>
  <c r="H445" i="1"/>
  <c r="I445" i="1"/>
  <c r="J445" i="1"/>
  <c r="H446" i="1"/>
  <c r="I446" i="1"/>
  <c r="J446" i="1"/>
  <c r="H447" i="1"/>
  <c r="I447" i="1"/>
  <c r="J447" i="1"/>
  <c r="H448" i="1"/>
  <c r="I448" i="1"/>
  <c r="J448" i="1"/>
  <c r="H449" i="1"/>
  <c r="I449" i="1"/>
  <c r="J449" i="1"/>
  <c r="H450" i="1"/>
  <c r="I450" i="1"/>
  <c r="J450" i="1"/>
  <c r="H451" i="1"/>
  <c r="I451" i="1"/>
  <c r="J451" i="1"/>
  <c r="H452" i="1"/>
  <c r="I452" i="1"/>
  <c r="J452" i="1"/>
  <c r="H453" i="1"/>
  <c r="I453" i="1"/>
  <c r="J453" i="1"/>
  <c r="H454" i="1"/>
  <c r="I454" i="1"/>
  <c r="J454" i="1"/>
  <c r="H455" i="1"/>
  <c r="I455" i="1"/>
  <c r="J455" i="1"/>
  <c r="H456" i="1"/>
  <c r="I456" i="1"/>
  <c r="J456" i="1"/>
  <c r="H457" i="1"/>
  <c r="I457" i="1"/>
  <c r="J457" i="1"/>
  <c r="H458" i="1"/>
  <c r="I458" i="1"/>
  <c r="J458" i="1"/>
  <c r="H459" i="1"/>
  <c r="I459" i="1"/>
  <c r="J459" i="1"/>
  <c r="H460" i="1"/>
  <c r="I460" i="1"/>
  <c r="J460" i="1"/>
  <c r="H461" i="1"/>
  <c r="I461" i="1"/>
  <c r="J461" i="1"/>
  <c r="H462" i="1"/>
  <c r="I462" i="1"/>
  <c r="J462" i="1"/>
  <c r="H463" i="1"/>
  <c r="I463" i="1"/>
  <c r="J463" i="1"/>
  <c r="H464" i="1"/>
  <c r="I464" i="1"/>
  <c r="J464" i="1"/>
  <c r="H465" i="1"/>
  <c r="I465" i="1"/>
  <c r="J465" i="1"/>
  <c r="H466" i="1"/>
  <c r="I466" i="1"/>
  <c r="J466" i="1"/>
  <c r="H467" i="1"/>
  <c r="I467" i="1"/>
  <c r="J467" i="1"/>
  <c r="H468" i="1"/>
  <c r="I468" i="1"/>
  <c r="J468" i="1"/>
  <c r="H469" i="1"/>
  <c r="I469" i="1"/>
  <c r="J469" i="1"/>
  <c r="H470" i="1"/>
  <c r="I470" i="1"/>
  <c r="J470" i="1"/>
  <c r="H471" i="1"/>
  <c r="I471" i="1"/>
  <c r="J471" i="1"/>
  <c r="U287" i="1" a="1"/>
  <c r="U287" i="1" s="1"/>
  <c r="U280" i="1" a="1"/>
  <c r="U280" i="1" s="1"/>
  <c r="U272" i="1" a="1"/>
  <c r="U272" i="1" s="1"/>
  <c r="U236" i="1" a="1"/>
  <c r="U236" i="1" s="1"/>
  <c r="U205" i="1" a="1"/>
  <c r="U205" i="1" s="1"/>
  <c r="E16" i="2"/>
  <c r="J11" i="4" s="1"/>
  <c r="D11" i="6" s="1"/>
  <c r="AE14" i="1"/>
  <c r="U443" i="1" a="1"/>
  <c r="U443" i="1" s="1"/>
  <c r="U366" i="1" a="1"/>
  <c r="U366" i="1" s="1"/>
  <c r="U128" i="1" a="1"/>
  <c r="U128" i="1" s="1"/>
  <c r="AH99" i="1"/>
  <c r="AH42" i="1"/>
  <c r="AH72" i="1"/>
  <c r="U471" i="1" a="1"/>
  <c r="U471" i="1" s="1"/>
  <c r="U470" i="1" a="1"/>
  <c r="U470" i="1" s="1"/>
  <c r="U469" i="1" a="1"/>
  <c r="U469" i="1" s="1"/>
  <c r="U468" i="1" a="1"/>
  <c r="U468" i="1" s="1"/>
  <c r="U467" i="1" a="1"/>
  <c r="U467" i="1" s="1"/>
  <c r="U466" i="1" a="1"/>
  <c r="U466" i="1" s="1"/>
  <c r="U465" i="1" a="1"/>
  <c r="U465" i="1" s="1"/>
  <c r="U464" i="1" a="1"/>
  <c r="U464" i="1" s="1"/>
  <c r="U463" i="1" a="1"/>
  <c r="U463" i="1" s="1"/>
  <c r="U462" i="1" a="1"/>
  <c r="U462" i="1" s="1"/>
  <c r="U461" i="1" a="1"/>
  <c r="U461" i="1" s="1"/>
  <c r="U460" i="1" a="1"/>
  <c r="U460" i="1" s="1"/>
  <c r="U459" i="1" a="1"/>
  <c r="U459" i="1" s="1"/>
  <c r="U458" i="1" a="1"/>
  <c r="U458" i="1" s="1"/>
  <c r="U457" i="1" a="1"/>
  <c r="U457" i="1" s="1"/>
  <c r="U456" i="1" a="1"/>
  <c r="U456" i="1" s="1"/>
  <c r="U455" i="1" a="1"/>
  <c r="U455" i="1" s="1"/>
  <c r="U454" i="1" a="1"/>
  <c r="U454" i="1" s="1"/>
  <c r="U453" i="1" a="1"/>
  <c r="U453" i="1" s="1"/>
  <c r="U452" i="1" a="1"/>
  <c r="U452" i="1" s="1"/>
  <c r="U440" i="1" a="1"/>
  <c r="U440" i="1" s="1"/>
  <c r="U335" i="1" a="1"/>
  <c r="U335" i="1" s="1"/>
  <c r="U327" i="1" a="1"/>
  <c r="U327" i="1" s="1"/>
  <c r="U268" i="1" a="1"/>
  <c r="U268" i="1" s="1"/>
  <c r="U72" i="1" a="1"/>
  <c r="U72" i="1" s="1"/>
  <c r="U99" i="1" a="1"/>
  <c r="U99" i="1" s="1"/>
  <c r="U372" i="1" a="1"/>
  <c r="U372" i="1" s="1"/>
  <c r="U42" i="1" a="1"/>
  <c r="U42" i="1" s="1"/>
  <c r="D12" i="2"/>
  <c r="C12" i="2"/>
  <c r="U359" i="1" a="1"/>
  <c r="U359" i="1" s="1"/>
  <c r="U344" i="1" a="1"/>
  <c r="U344" i="1" s="1"/>
  <c r="U329" i="1" a="1"/>
  <c r="U329" i="1" s="1"/>
  <c r="U321" i="1" a="1"/>
  <c r="U321" i="1" s="1"/>
  <c r="Q12" i="2"/>
  <c r="AE13" i="1"/>
  <c r="AE5" i="1"/>
  <c r="AE6" i="1"/>
  <c r="AE7" i="1"/>
  <c r="AE9" i="1"/>
  <c r="AE11" i="1"/>
  <c r="O13" i="2" s="1"/>
  <c r="AE12" i="1"/>
  <c r="AE15" i="1"/>
  <c r="AE16" i="1"/>
  <c r="AE4" i="1"/>
  <c r="U357" i="1" a="1"/>
  <c r="U357" i="1" s="1"/>
  <c r="U358" i="1" a="1"/>
  <c r="U358" i="1" s="1"/>
  <c r="U343" i="1" a="1"/>
  <c r="U343" i="1" s="1"/>
  <c r="U314" i="1" a="1"/>
  <c r="U314" i="1" s="1"/>
  <c r="U307" i="1" a="1"/>
  <c r="U307" i="1" s="1"/>
  <c r="U300" i="1" a="1"/>
  <c r="U300" i="1" s="1"/>
  <c r="U271" i="1" a="1"/>
  <c r="U271" i="1" s="1"/>
  <c r="U144" i="1" a="1"/>
  <c r="U144" i="1" s="1"/>
  <c r="J9" i="1"/>
  <c r="I9" i="1"/>
  <c r="H9" i="1"/>
  <c r="E14" i="2"/>
  <c r="E15" i="2"/>
  <c r="D14" i="2"/>
  <c r="I10" i="4" s="1"/>
  <c r="C10" i="6" s="1"/>
  <c r="D15" i="2"/>
  <c r="D16" i="2"/>
  <c r="I11" i="4" s="1"/>
  <c r="C11" i="6" s="1"/>
  <c r="C14" i="2"/>
  <c r="H10" i="4" s="1"/>
  <c r="B10" i="6" s="1"/>
  <c r="C15" i="2"/>
  <c r="E6" i="2"/>
  <c r="D6" i="2"/>
  <c r="C6" i="2"/>
  <c r="Q15" i="2"/>
  <c r="E11" i="6"/>
  <c r="E12" i="6"/>
  <c r="J7" i="4"/>
  <c r="D7" i="6" s="1"/>
  <c r="H9" i="4"/>
  <c r="B9" i="6" s="1"/>
  <c r="J9" i="4"/>
  <c r="D9" i="6" s="1"/>
  <c r="G1" i="4"/>
  <c r="A1" i="6" s="1"/>
  <c r="G2" i="4"/>
  <c r="A2" i="6" s="1"/>
  <c r="G3" i="4"/>
  <c r="A3" i="6" s="1"/>
  <c r="G4" i="4"/>
  <c r="A4" i="6" s="1"/>
  <c r="G5" i="4"/>
  <c r="A5" i="6" s="1"/>
  <c r="G6" i="4"/>
  <c r="A6" i="6" s="1"/>
  <c r="G7" i="4"/>
  <c r="A7" i="6" s="1"/>
  <c r="G8" i="4"/>
  <c r="A8" i="6" s="1"/>
  <c r="G9" i="4"/>
  <c r="A9" i="6" s="1"/>
  <c r="G10" i="4"/>
  <c r="A10" i="6" s="1"/>
  <c r="G11" i="4"/>
  <c r="A11" i="6" s="1"/>
  <c r="G12" i="4"/>
  <c r="A12" i="6" s="1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C1" i="3"/>
  <c r="E17" i="2"/>
  <c r="J12" i="4" s="1"/>
  <c r="D12" i="6" s="1"/>
  <c r="C16" i="2"/>
  <c r="H11" i="4" s="1"/>
  <c r="B11" i="6" s="1"/>
  <c r="C17" i="2"/>
  <c r="N17" i="2" s="1"/>
  <c r="E10" i="6" s="1"/>
  <c r="Q16" i="2"/>
  <c r="Y10" i="1"/>
  <c r="V10" i="1" s="1"/>
  <c r="Y11" i="1"/>
  <c r="V11" i="1" s="1"/>
  <c r="Y12" i="1"/>
  <c r="V12" i="1" s="1"/>
  <c r="Y13" i="1"/>
  <c r="V13" i="1" s="1"/>
  <c r="AH100" i="1"/>
  <c r="AH101" i="1"/>
  <c r="U438" i="1" a="1"/>
  <c r="U438" i="1" s="1"/>
  <c r="U439" i="1" a="1"/>
  <c r="U439" i="1" s="1"/>
  <c r="U441" i="1" a="1"/>
  <c r="U441" i="1" s="1"/>
  <c r="U442" i="1" a="1"/>
  <c r="U442" i="1" s="1"/>
  <c r="U444" i="1" a="1"/>
  <c r="U444" i="1" s="1"/>
  <c r="U445" i="1" a="1"/>
  <c r="U445" i="1" s="1"/>
  <c r="U446" i="1" a="1"/>
  <c r="U446" i="1" s="1"/>
  <c r="U447" i="1" a="1"/>
  <c r="U447" i="1" s="1"/>
  <c r="U448" i="1" a="1"/>
  <c r="U448" i="1" s="1"/>
  <c r="U449" i="1" a="1"/>
  <c r="U449" i="1" s="1"/>
  <c r="U450" i="1" a="1"/>
  <c r="U450" i="1" s="1"/>
  <c r="U451" i="1" a="1"/>
  <c r="U451" i="1" s="1"/>
  <c r="A473" i="1"/>
  <c r="A474" i="1" s="1"/>
  <c r="U142" i="1" a="1"/>
  <c r="U142" i="1" s="1"/>
  <c r="D10" i="2"/>
  <c r="I7" i="4" s="1"/>
  <c r="C7" i="6" s="1"/>
  <c r="C10" i="2"/>
  <c r="H7" i="4" s="1"/>
  <c r="B7" i="6" s="1"/>
  <c r="Q10" i="2"/>
  <c r="AH98" i="1"/>
  <c r="AH97" i="1"/>
  <c r="AH96" i="1"/>
  <c r="AH95" i="1"/>
  <c r="AH32" i="1"/>
  <c r="Y20" i="1" s="1"/>
  <c r="AH33" i="1"/>
  <c r="Y25" i="1" s="1"/>
  <c r="AH34" i="1"/>
  <c r="AH35" i="1"/>
  <c r="AH36" i="1"/>
  <c r="AH37" i="1"/>
  <c r="AH38" i="1"/>
  <c r="AH39" i="1"/>
  <c r="AH40" i="1"/>
  <c r="AH41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Y415" i="1" s="1"/>
  <c r="V415" i="1" s="1"/>
  <c r="H415" i="1" s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31" i="1"/>
  <c r="Y15" i="1" s="1"/>
  <c r="Q4" i="2"/>
  <c r="Q5" i="2"/>
  <c r="Q7" i="2"/>
  <c r="Q8" i="2"/>
  <c r="Q9" i="2"/>
  <c r="Q11" i="2"/>
  <c r="Q13" i="2"/>
  <c r="Q14" i="2"/>
  <c r="Q17" i="2"/>
  <c r="Q3" i="2"/>
  <c r="U276" i="1" a="1"/>
  <c r="U276" i="1" s="1"/>
  <c r="U145" i="1" a="1"/>
  <c r="U145" i="1" s="1"/>
  <c r="D13" i="2"/>
  <c r="F13" i="2" s="1"/>
  <c r="R13" i="2" s="1"/>
  <c r="D17" i="2"/>
  <c r="I12" i="4" s="1"/>
  <c r="C12" i="6" s="1"/>
  <c r="N13" i="2"/>
  <c r="E8" i="6" s="1"/>
  <c r="J415" i="1" l="1"/>
  <c r="Y421" i="1"/>
  <c r="V421" i="1" s="1"/>
  <c r="AD118" i="1"/>
  <c r="Y236" i="1"/>
  <c r="V236" i="1" s="1"/>
  <c r="H236" i="1" s="1"/>
  <c r="Y467" i="1"/>
  <c r="V467" i="1" s="1"/>
  <c r="Y429" i="1"/>
  <c r="V429" i="1" s="1"/>
  <c r="I415" i="1"/>
  <c r="Y471" i="1"/>
  <c r="V471" i="1" s="1"/>
  <c r="Y412" i="1"/>
  <c r="V412" i="1" s="1"/>
  <c r="Y272" i="1"/>
  <c r="V272" i="1" s="1"/>
  <c r="Y366" i="1"/>
  <c r="V366" i="1" s="1"/>
  <c r="AE119" i="1"/>
  <c r="Y424" i="1"/>
  <c r="Y205" i="1"/>
  <c r="V205" i="1" s="1"/>
  <c r="H205" i="1" s="1"/>
  <c r="I205" i="1"/>
  <c r="J205" i="1"/>
  <c r="Y280" i="1"/>
  <c r="V280" i="1" s="1"/>
  <c r="Y287" i="1"/>
  <c r="V287" i="1" s="1"/>
  <c r="Y443" i="1"/>
  <c r="V443" i="1" s="1"/>
  <c r="Y462" i="1"/>
  <c r="V462" i="1" s="1"/>
  <c r="Y466" i="1"/>
  <c r="V466" i="1" s="1"/>
  <c r="Y457" i="1"/>
  <c r="V457" i="1" s="1"/>
  <c r="Y461" i="1"/>
  <c r="V461" i="1" s="1"/>
  <c r="Y465" i="1"/>
  <c r="V465" i="1" s="1"/>
  <c r="Y452" i="1"/>
  <c r="V452" i="1" s="1"/>
  <c r="Y128" i="1"/>
  <c r="V128" i="1" s="1"/>
  <c r="Y460" i="1"/>
  <c r="V460" i="1" s="1"/>
  <c r="Y464" i="1"/>
  <c r="V464" i="1" s="1"/>
  <c r="Y459" i="1"/>
  <c r="V459" i="1" s="1"/>
  <c r="Y463" i="1"/>
  <c r="V463" i="1" s="1"/>
  <c r="Y468" i="1"/>
  <c r="V468" i="1" s="1"/>
  <c r="Y455" i="1"/>
  <c r="V455" i="1" s="1"/>
  <c r="Y454" i="1"/>
  <c r="V454" i="1" s="1"/>
  <c r="Y453" i="1"/>
  <c r="V453" i="1" s="1"/>
  <c r="Y458" i="1"/>
  <c r="V458" i="1" s="1"/>
  <c r="J4" i="2"/>
  <c r="D1" i="3" s="1"/>
  <c r="Y456" i="1"/>
  <c r="V456" i="1" s="1"/>
  <c r="Y469" i="1"/>
  <c r="V469" i="1" s="1"/>
  <c r="Y470" i="1"/>
  <c r="V470" i="1" s="1"/>
  <c r="Y335" i="1"/>
  <c r="V335" i="1" s="1"/>
  <c r="Y440" i="1"/>
  <c r="V440" i="1" s="1"/>
  <c r="Y327" i="1"/>
  <c r="V327" i="1" s="1"/>
  <c r="Y268" i="1"/>
  <c r="V268" i="1" s="1"/>
  <c r="Y72" i="1"/>
  <c r="V72" i="1" s="1"/>
  <c r="Y99" i="1"/>
  <c r="V99" i="1" s="1"/>
  <c r="Y372" i="1"/>
  <c r="V372" i="1" s="1"/>
  <c r="Y42" i="1"/>
  <c r="V42" i="1" s="1"/>
  <c r="Y413" i="1"/>
  <c r="V413" i="1" s="1"/>
  <c r="F12" i="2"/>
  <c r="Y359" i="1"/>
  <c r="V359" i="1" s="1"/>
  <c r="Y344" i="1"/>
  <c r="V344" i="1" s="1"/>
  <c r="Y144" i="1"/>
  <c r="V144" i="1" s="1"/>
  <c r="Y321" i="1"/>
  <c r="V321" i="1" s="1"/>
  <c r="Y329" i="1"/>
  <c r="V329" i="1" s="1"/>
  <c r="Y357" i="1"/>
  <c r="V357" i="1" s="1"/>
  <c r="Y271" i="1"/>
  <c r="V271" i="1" s="1"/>
  <c r="Y300" i="1"/>
  <c r="V300" i="1" s="1"/>
  <c r="Y343" i="1"/>
  <c r="V343" i="1" s="1"/>
  <c r="Y358" i="1"/>
  <c r="V358" i="1" s="1"/>
  <c r="Y439" i="1"/>
  <c r="V439" i="1" s="1"/>
  <c r="Y307" i="1"/>
  <c r="V307" i="1" s="1"/>
  <c r="Y314" i="1"/>
  <c r="V314" i="1" s="1"/>
  <c r="Y441" i="1"/>
  <c r="V441" i="1" s="1"/>
  <c r="O14" i="2"/>
  <c r="N14" i="2"/>
  <c r="E9" i="6" s="1"/>
  <c r="F14" i="2"/>
  <c r="R14" i="2" s="1"/>
  <c r="J10" i="4"/>
  <c r="D10" i="6" s="1"/>
  <c r="F15" i="2"/>
  <c r="Y438" i="1"/>
  <c r="V438" i="1" s="1"/>
  <c r="F6" i="2"/>
  <c r="I9" i="4"/>
  <c r="C9" i="6" s="1"/>
  <c r="H12" i="4"/>
  <c r="B12" i="6" s="1"/>
  <c r="F16" i="2"/>
  <c r="K11" i="4" s="1"/>
  <c r="N16" i="2"/>
  <c r="O16" i="2"/>
  <c r="K9" i="4"/>
  <c r="Y145" i="1"/>
  <c r="V145" i="1" s="1"/>
  <c r="Y142" i="1"/>
  <c r="V142" i="1" s="1"/>
  <c r="Y445" i="1"/>
  <c r="V445" i="1" s="1"/>
  <c r="Y444" i="1"/>
  <c r="V444" i="1" s="1"/>
  <c r="Y442" i="1"/>
  <c r="V442" i="1" s="1"/>
  <c r="Y27" i="1"/>
  <c r="V27" i="1" s="1"/>
  <c r="Y23" i="1"/>
  <c r="V23" i="1" s="1"/>
  <c r="Y21" i="1"/>
  <c r="V21" i="1" s="1"/>
  <c r="Y18" i="1"/>
  <c r="V18" i="1" s="1"/>
  <c r="Y17" i="1"/>
  <c r="V17" i="1" s="1"/>
  <c r="Y16" i="1"/>
  <c r="V16" i="1" s="1"/>
  <c r="Y447" i="1"/>
  <c r="V447" i="1" s="1"/>
  <c r="Y28" i="1"/>
  <c r="V28" i="1" s="1"/>
  <c r="Y448" i="1"/>
  <c r="V448" i="1" s="1"/>
  <c r="Y449" i="1"/>
  <c r="V449" i="1" s="1"/>
  <c r="Y451" i="1"/>
  <c r="V451" i="1" s="1"/>
  <c r="Y450" i="1"/>
  <c r="V450" i="1" s="1"/>
  <c r="Y446" i="1"/>
  <c r="V446" i="1" s="1"/>
  <c r="V424" i="1"/>
  <c r="Y276" i="1"/>
  <c r="V276" i="1" s="1"/>
  <c r="Y26" i="1"/>
  <c r="V26" i="1" s="1"/>
  <c r="Y22" i="1"/>
  <c r="V22" i="1" s="1"/>
  <c r="V25" i="1"/>
  <c r="F10" i="2"/>
  <c r="AC113" i="1"/>
  <c r="AC115" i="1" s="1"/>
  <c r="AD115" i="1" s="1"/>
  <c r="V15" i="1"/>
  <c r="V20" i="1"/>
  <c r="O17" i="2"/>
  <c r="F17" i="2"/>
  <c r="U97" i="1" a="1"/>
  <c r="U97" i="1" s="1"/>
  <c r="U98" i="1" a="1"/>
  <c r="U98" i="1" s="1"/>
  <c r="Y98" i="1" s="1"/>
  <c r="U100" i="1" a="1"/>
  <c r="U100" i="1" s="1"/>
  <c r="U101" i="1" a="1"/>
  <c r="U101" i="1" s="1"/>
  <c r="U102" i="1" a="1"/>
  <c r="U102" i="1" s="1"/>
  <c r="U103" i="1" a="1"/>
  <c r="U103" i="1" s="1"/>
  <c r="U96" i="1" a="1"/>
  <c r="U96" i="1" s="1"/>
  <c r="U95" i="1" a="1"/>
  <c r="U95" i="1" s="1"/>
  <c r="U177" i="1" a="1"/>
  <c r="U177" i="1" s="1"/>
  <c r="U178" i="1" a="1"/>
  <c r="U178" i="1" s="1"/>
  <c r="U179" i="1" a="1"/>
  <c r="U179" i="1" s="1"/>
  <c r="U180" i="1" a="1"/>
  <c r="U180" i="1" s="1"/>
  <c r="U181" i="1" a="1"/>
  <c r="U181" i="1" s="1"/>
  <c r="U182" i="1" a="1"/>
  <c r="U182" i="1" s="1"/>
  <c r="U183" i="1" a="1"/>
  <c r="U183" i="1" s="1"/>
  <c r="U184" i="1" a="1"/>
  <c r="U184" i="1" s="1"/>
  <c r="U185" i="1" a="1"/>
  <c r="U185" i="1" s="1"/>
  <c r="U186" i="1" a="1"/>
  <c r="U186" i="1" s="1"/>
  <c r="U187" i="1" a="1"/>
  <c r="U187" i="1" s="1"/>
  <c r="U188" i="1" a="1"/>
  <c r="U188" i="1" s="1"/>
  <c r="U189" i="1" a="1"/>
  <c r="U189" i="1" s="1"/>
  <c r="U190" i="1" a="1"/>
  <c r="U190" i="1" s="1"/>
  <c r="U191" i="1" a="1"/>
  <c r="U191" i="1" s="1"/>
  <c r="U192" i="1" a="1"/>
  <c r="U192" i="1" s="1"/>
  <c r="U193" i="1" a="1"/>
  <c r="U193" i="1" s="1"/>
  <c r="U194" i="1" a="1"/>
  <c r="U194" i="1" s="1"/>
  <c r="U195" i="1" a="1"/>
  <c r="U195" i="1" s="1"/>
  <c r="U196" i="1" a="1"/>
  <c r="U196" i="1" s="1"/>
  <c r="U197" i="1" a="1"/>
  <c r="U197" i="1" s="1"/>
  <c r="U198" i="1" a="1"/>
  <c r="U198" i="1" s="1"/>
  <c r="U199" i="1" a="1"/>
  <c r="U199" i="1" s="1"/>
  <c r="U200" i="1" a="1"/>
  <c r="U200" i="1" s="1"/>
  <c r="U201" i="1" a="1"/>
  <c r="U201" i="1" s="1"/>
  <c r="U202" i="1" a="1"/>
  <c r="U202" i="1" s="1"/>
  <c r="U203" i="1" a="1"/>
  <c r="U203" i="1" s="1"/>
  <c r="U204" i="1" a="1"/>
  <c r="U204" i="1" s="1"/>
  <c r="U206" i="1" a="1"/>
  <c r="U206" i="1" s="1"/>
  <c r="U207" i="1" a="1"/>
  <c r="U207" i="1" s="1"/>
  <c r="U208" i="1" a="1"/>
  <c r="U208" i="1" s="1"/>
  <c r="U209" i="1" a="1"/>
  <c r="U209" i="1" s="1"/>
  <c r="U210" i="1" a="1"/>
  <c r="U210" i="1" s="1"/>
  <c r="U211" i="1" a="1"/>
  <c r="U211" i="1" s="1"/>
  <c r="U212" i="1" a="1"/>
  <c r="U212" i="1" s="1"/>
  <c r="U213" i="1" a="1"/>
  <c r="U213" i="1" s="1"/>
  <c r="U214" i="1" a="1"/>
  <c r="U214" i="1" s="1"/>
  <c r="U215" i="1" a="1"/>
  <c r="U215" i="1" s="1"/>
  <c r="U216" i="1" a="1"/>
  <c r="U216" i="1" s="1"/>
  <c r="U217" i="1" a="1"/>
  <c r="U217" i="1" s="1"/>
  <c r="U218" i="1" a="1"/>
  <c r="U218" i="1" s="1"/>
  <c r="U219" i="1" a="1"/>
  <c r="U219" i="1" s="1"/>
  <c r="U220" i="1" a="1"/>
  <c r="U220" i="1" s="1"/>
  <c r="U221" i="1" a="1"/>
  <c r="U221" i="1" s="1"/>
  <c r="U222" i="1" a="1"/>
  <c r="U222" i="1" s="1"/>
  <c r="U223" i="1" a="1"/>
  <c r="U223" i="1" s="1"/>
  <c r="U224" i="1" a="1"/>
  <c r="U224" i="1" s="1"/>
  <c r="U225" i="1" a="1"/>
  <c r="U225" i="1" s="1"/>
  <c r="U226" i="1" a="1"/>
  <c r="U226" i="1" s="1"/>
  <c r="U227" i="1" a="1"/>
  <c r="U227" i="1" s="1"/>
  <c r="U228" i="1" a="1"/>
  <c r="U228" i="1" s="1"/>
  <c r="U229" i="1" a="1"/>
  <c r="U229" i="1" s="1"/>
  <c r="U230" i="1" a="1"/>
  <c r="U230" i="1" s="1"/>
  <c r="U231" i="1" a="1"/>
  <c r="U231" i="1" s="1"/>
  <c r="U232" i="1" a="1"/>
  <c r="U232" i="1" s="1"/>
  <c r="U233" i="1" a="1"/>
  <c r="U233" i="1" s="1"/>
  <c r="U234" i="1" a="1"/>
  <c r="U234" i="1" s="1"/>
  <c r="U235" i="1" a="1"/>
  <c r="U235" i="1" s="1"/>
  <c r="U237" i="1" a="1"/>
  <c r="U237" i="1" s="1"/>
  <c r="U238" i="1" a="1"/>
  <c r="U238" i="1" s="1"/>
  <c r="U239" i="1" a="1"/>
  <c r="U239" i="1" s="1"/>
  <c r="U240" i="1" a="1"/>
  <c r="U240" i="1" s="1"/>
  <c r="U241" i="1" a="1"/>
  <c r="U241" i="1" s="1"/>
  <c r="U242" i="1" a="1"/>
  <c r="U242" i="1" s="1"/>
  <c r="U243" i="1" a="1"/>
  <c r="U243" i="1" s="1"/>
  <c r="U244" i="1" a="1"/>
  <c r="U244" i="1" s="1"/>
  <c r="U245" i="1" a="1"/>
  <c r="U245" i="1" s="1"/>
  <c r="U246" i="1" a="1"/>
  <c r="U246" i="1" s="1"/>
  <c r="U247" i="1" a="1"/>
  <c r="U247" i="1" s="1"/>
  <c r="U248" i="1" a="1"/>
  <c r="U248" i="1" s="1"/>
  <c r="U249" i="1" a="1"/>
  <c r="U249" i="1" s="1"/>
  <c r="U250" i="1" a="1"/>
  <c r="U250" i="1" s="1"/>
  <c r="U251" i="1" a="1"/>
  <c r="U251" i="1" s="1"/>
  <c r="U252" i="1" a="1"/>
  <c r="U252" i="1" s="1"/>
  <c r="U253" i="1" a="1"/>
  <c r="U253" i="1" s="1"/>
  <c r="U254" i="1" a="1"/>
  <c r="U254" i="1" s="1"/>
  <c r="U255" i="1" a="1"/>
  <c r="U255" i="1" s="1"/>
  <c r="U256" i="1" a="1"/>
  <c r="U256" i="1" s="1"/>
  <c r="U257" i="1" a="1"/>
  <c r="U257" i="1" s="1"/>
  <c r="U258" i="1" a="1"/>
  <c r="U258" i="1" s="1"/>
  <c r="U259" i="1" a="1"/>
  <c r="U259" i="1" s="1"/>
  <c r="U260" i="1" a="1"/>
  <c r="U260" i="1" s="1"/>
  <c r="U261" i="1" a="1"/>
  <c r="U261" i="1" s="1"/>
  <c r="U262" i="1" a="1"/>
  <c r="U262" i="1" s="1"/>
  <c r="U263" i="1" a="1"/>
  <c r="U263" i="1" s="1"/>
  <c r="U264" i="1" a="1"/>
  <c r="U264" i="1" s="1"/>
  <c r="U265" i="1" a="1"/>
  <c r="U265" i="1" s="1"/>
  <c r="U266" i="1" a="1"/>
  <c r="U266" i="1" s="1"/>
  <c r="U267" i="1" a="1"/>
  <c r="U267" i="1" s="1"/>
  <c r="U269" i="1" a="1"/>
  <c r="U269" i="1" s="1"/>
  <c r="U270" i="1" a="1"/>
  <c r="U270" i="1" s="1"/>
  <c r="U273" i="1" a="1"/>
  <c r="U273" i="1" s="1"/>
  <c r="U274" i="1" a="1"/>
  <c r="U274" i="1" s="1"/>
  <c r="U275" i="1" a="1"/>
  <c r="U275" i="1" s="1"/>
  <c r="U277" i="1" a="1"/>
  <c r="U277" i="1" s="1"/>
  <c r="U278" i="1" a="1"/>
  <c r="U278" i="1" s="1"/>
  <c r="U279" i="1" a="1"/>
  <c r="U279" i="1" s="1"/>
  <c r="U281" i="1" a="1"/>
  <c r="U281" i="1" s="1"/>
  <c r="U282" i="1" a="1"/>
  <c r="U282" i="1" s="1"/>
  <c r="U283" i="1" a="1"/>
  <c r="U283" i="1" s="1"/>
  <c r="U284" i="1" a="1"/>
  <c r="U284" i="1" s="1"/>
  <c r="U285" i="1" a="1"/>
  <c r="U285" i="1" s="1"/>
  <c r="U286" i="1" a="1"/>
  <c r="U286" i="1" s="1"/>
  <c r="U288" i="1" a="1"/>
  <c r="U288" i="1" s="1"/>
  <c r="U289" i="1" a="1"/>
  <c r="U289" i="1" s="1"/>
  <c r="U290" i="1" a="1"/>
  <c r="U290" i="1" s="1"/>
  <c r="U291" i="1" a="1"/>
  <c r="U291" i="1" s="1"/>
  <c r="U292" i="1" a="1"/>
  <c r="U292" i="1" s="1"/>
  <c r="U293" i="1" a="1"/>
  <c r="U293" i="1" s="1"/>
  <c r="U294" i="1" a="1"/>
  <c r="U294" i="1" s="1"/>
  <c r="U295" i="1" a="1"/>
  <c r="U295" i="1" s="1"/>
  <c r="U296" i="1" a="1"/>
  <c r="U296" i="1" s="1"/>
  <c r="U297" i="1" a="1"/>
  <c r="U297" i="1" s="1"/>
  <c r="U298" i="1" a="1"/>
  <c r="U298" i="1" s="1"/>
  <c r="U299" i="1" a="1"/>
  <c r="U299" i="1" s="1"/>
  <c r="U301" i="1" a="1"/>
  <c r="U301" i="1" s="1"/>
  <c r="U302" i="1" a="1"/>
  <c r="U302" i="1" s="1"/>
  <c r="U303" i="1" a="1"/>
  <c r="U303" i="1" s="1"/>
  <c r="U304" i="1" a="1"/>
  <c r="U304" i="1" s="1"/>
  <c r="U305" i="1" a="1"/>
  <c r="U305" i="1" s="1"/>
  <c r="U306" i="1" a="1"/>
  <c r="U306" i="1" s="1"/>
  <c r="U308" i="1" a="1"/>
  <c r="U308" i="1" s="1"/>
  <c r="U309" i="1" a="1"/>
  <c r="U309" i="1" s="1"/>
  <c r="U310" i="1" a="1"/>
  <c r="U310" i="1" s="1"/>
  <c r="U311" i="1" a="1"/>
  <c r="U311" i="1" s="1"/>
  <c r="U312" i="1" a="1"/>
  <c r="U312" i="1" s="1"/>
  <c r="U313" i="1" a="1"/>
  <c r="U313" i="1" s="1"/>
  <c r="U315" i="1" a="1"/>
  <c r="U315" i="1" s="1"/>
  <c r="U316" i="1" a="1"/>
  <c r="U316" i="1" s="1"/>
  <c r="U317" i="1" a="1"/>
  <c r="U317" i="1" s="1"/>
  <c r="U318" i="1" a="1"/>
  <c r="U318" i="1" s="1"/>
  <c r="U319" i="1" a="1"/>
  <c r="U319" i="1" s="1"/>
  <c r="U320" i="1" a="1"/>
  <c r="U320" i="1" s="1"/>
  <c r="U322" i="1" a="1"/>
  <c r="U322" i="1" s="1"/>
  <c r="U323" i="1" a="1"/>
  <c r="U323" i="1" s="1"/>
  <c r="U324" i="1" a="1"/>
  <c r="U324" i="1" s="1"/>
  <c r="U325" i="1" a="1"/>
  <c r="U325" i="1" s="1"/>
  <c r="U326" i="1" a="1"/>
  <c r="U326" i="1" s="1"/>
  <c r="U328" i="1" a="1"/>
  <c r="U328" i="1" s="1"/>
  <c r="U330" i="1" a="1"/>
  <c r="U330" i="1" s="1"/>
  <c r="U331" i="1" a="1"/>
  <c r="U331" i="1" s="1"/>
  <c r="U332" i="1" a="1"/>
  <c r="U332" i="1" s="1"/>
  <c r="U333" i="1" a="1"/>
  <c r="U333" i="1" s="1"/>
  <c r="U334" i="1" a="1"/>
  <c r="U334" i="1" s="1"/>
  <c r="U336" i="1" a="1"/>
  <c r="U336" i="1" s="1"/>
  <c r="U337" i="1" a="1"/>
  <c r="U337" i="1" s="1"/>
  <c r="U338" i="1" a="1"/>
  <c r="U338" i="1" s="1"/>
  <c r="U339" i="1" a="1"/>
  <c r="U339" i="1" s="1"/>
  <c r="U340" i="1" a="1"/>
  <c r="U340" i="1" s="1"/>
  <c r="U341" i="1" a="1"/>
  <c r="U341" i="1" s="1"/>
  <c r="U342" i="1" a="1"/>
  <c r="U342" i="1" s="1"/>
  <c r="U345" i="1" a="1"/>
  <c r="U345" i="1" s="1"/>
  <c r="U346" i="1" a="1"/>
  <c r="U346" i="1" s="1"/>
  <c r="U347" i="1" a="1"/>
  <c r="U347" i="1" s="1"/>
  <c r="U348" i="1" a="1"/>
  <c r="U348" i="1" s="1"/>
  <c r="U349" i="1" a="1"/>
  <c r="U349" i="1" s="1"/>
  <c r="U350" i="1" a="1"/>
  <c r="U350" i="1" s="1"/>
  <c r="U351" i="1" a="1"/>
  <c r="U351" i="1" s="1"/>
  <c r="U352" i="1" a="1"/>
  <c r="U352" i="1" s="1"/>
  <c r="U353" i="1" a="1"/>
  <c r="U353" i="1" s="1"/>
  <c r="U354" i="1" a="1"/>
  <c r="U354" i="1" s="1"/>
  <c r="U355" i="1" a="1"/>
  <c r="U355" i="1" s="1"/>
  <c r="U356" i="1" a="1"/>
  <c r="U356" i="1" s="1"/>
  <c r="U360" i="1" a="1"/>
  <c r="U360" i="1" s="1"/>
  <c r="U361" i="1" a="1"/>
  <c r="U361" i="1" s="1"/>
  <c r="U362" i="1" a="1"/>
  <c r="U362" i="1" s="1"/>
  <c r="U363" i="1" a="1"/>
  <c r="U363" i="1" s="1"/>
  <c r="U364" i="1" a="1"/>
  <c r="U364" i="1" s="1"/>
  <c r="U365" i="1" a="1"/>
  <c r="U365" i="1" s="1"/>
  <c r="U367" i="1" a="1"/>
  <c r="U367" i="1" s="1"/>
  <c r="U368" i="1" a="1"/>
  <c r="U368" i="1" s="1"/>
  <c r="U369" i="1" a="1"/>
  <c r="U369" i="1" s="1"/>
  <c r="U370" i="1" a="1"/>
  <c r="U370" i="1" s="1"/>
  <c r="U371" i="1" a="1"/>
  <c r="U371" i="1" s="1"/>
  <c r="U373" i="1" a="1"/>
  <c r="U373" i="1" s="1"/>
  <c r="U374" i="1" a="1"/>
  <c r="U374" i="1" s="1"/>
  <c r="U375" i="1" a="1"/>
  <c r="U375" i="1" s="1"/>
  <c r="U376" i="1" a="1"/>
  <c r="U376" i="1" s="1"/>
  <c r="U377" i="1" a="1"/>
  <c r="U377" i="1" s="1"/>
  <c r="U378" i="1" a="1"/>
  <c r="U378" i="1" s="1"/>
  <c r="U379" i="1" a="1"/>
  <c r="U379" i="1" s="1"/>
  <c r="U380" i="1" a="1"/>
  <c r="U380" i="1" s="1"/>
  <c r="U381" i="1" a="1"/>
  <c r="U381" i="1" s="1"/>
  <c r="U382" i="1" a="1"/>
  <c r="U382" i="1" s="1"/>
  <c r="U383" i="1" a="1"/>
  <c r="U383" i="1" s="1"/>
  <c r="U384" i="1" a="1"/>
  <c r="U384" i="1" s="1"/>
  <c r="U385" i="1" a="1"/>
  <c r="U385" i="1" s="1"/>
  <c r="U386" i="1" a="1"/>
  <c r="U386" i="1" s="1"/>
  <c r="U387" i="1" a="1"/>
  <c r="U387" i="1" s="1"/>
  <c r="U388" i="1" a="1"/>
  <c r="U388" i="1" s="1"/>
  <c r="U389" i="1" a="1"/>
  <c r="U389" i="1" s="1"/>
  <c r="U390" i="1" a="1"/>
  <c r="U390" i="1" s="1"/>
  <c r="U391" i="1" a="1"/>
  <c r="U391" i="1" s="1"/>
  <c r="U392" i="1" a="1"/>
  <c r="U392" i="1" s="1"/>
  <c r="U393" i="1" a="1"/>
  <c r="U393" i="1" s="1"/>
  <c r="U394" i="1" a="1"/>
  <c r="U394" i="1" s="1"/>
  <c r="U395" i="1" a="1"/>
  <c r="U395" i="1" s="1"/>
  <c r="U396" i="1" a="1"/>
  <c r="U396" i="1" s="1"/>
  <c r="U397" i="1" a="1"/>
  <c r="U397" i="1" s="1"/>
  <c r="U398" i="1" a="1"/>
  <c r="U398" i="1" s="1"/>
  <c r="U399" i="1" a="1"/>
  <c r="U399" i="1" s="1"/>
  <c r="U400" i="1" a="1"/>
  <c r="U400" i="1" s="1"/>
  <c r="U401" i="1" a="1"/>
  <c r="U401" i="1" s="1"/>
  <c r="U402" i="1" a="1"/>
  <c r="U402" i="1" s="1"/>
  <c r="U403" i="1" a="1"/>
  <c r="U403" i="1" s="1"/>
  <c r="U404" i="1" a="1"/>
  <c r="U404" i="1" s="1"/>
  <c r="U405" i="1" a="1"/>
  <c r="U405" i="1" s="1"/>
  <c r="U406" i="1" a="1"/>
  <c r="U406" i="1" s="1"/>
  <c r="U407" i="1" a="1"/>
  <c r="U407" i="1" s="1"/>
  <c r="U408" i="1" a="1"/>
  <c r="U408" i="1" s="1"/>
  <c r="U409" i="1" a="1"/>
  <c r="U409" i="1" s="1"/>
  <c r="U410" i="1" a="1"/>
  <c r="U410" i="1" s="1"/>
  <c r="U411" i="1" a="1"/>
  <c r="U411" i="1" s="1"/>
  <c r="U430" i="1" a="1"/>
  <c r="U430" i="1" s="1"/>
  <c r="U431" i="1" a="1"/>
  <c r="U431" i="1" s="1"/>
  <c r="U432" i="1" a="1"/>
  <c r="U432" i="1" s="1"/>
  <c r="U433" i="1" a="1"/>
  <c r="U433" i="1" s="1"/>
  <c r="U434" i="1" a="1"/>
  <c r="U434" i="1" s="1"/>
  <c r="U435" i="1" a="1"/>
  <c r="U435" i="1" s="1"/>
  <c r="U436" i="1" a="1"/>
  <c r="U436" i="1" s="1"/>
  <c r="U437" i="1" a="1"/>
  <c r="U437" i="1" s="1"/>
  <c r="U171" i="1" a="1"/>
  <c r="U171" i="1" s="1"/>
  <c r="U172" i="1" a="1"/>
  <c r="U172" i="1" s="1"/>
  <c r="U173" i="1" a="1"/>
  <c r="U173" i="1" s="1"/>
  <c r="U174" i="1" a="1"/>
  <c r="U174" i="1" s="1"/>
  <c r="U175" i="1" a="1"/>
  <c r="U175" i="1" s="1"/>
  <c r="U176" i="1" a="1"/>
  <c r="U176" i="1" s="1"/>
  <c r="U165" i="1" a="1"/>
  <c r="U165" i="1" s="1"/>
  <c r="U166" i="1" a="1"/>
  <c r="U166" i="1" s="1"/>
  <c r="U167" i="1" a="1"/>
  <c r="U167" i="1" s="1"/>
  <c r="U168" i="1" a="1"/>
  <c r="U168" i="1" s="1"/>
  <c r="U169" i="1" a="1"/>
  <c r="U169" i="1" s="1"/>
  <c r="U170" i="1" a="1"/>
  <c r="U170" i="1" s="1"/>
  <c r="U159" i="1" a="1"/>
  <c r="U159" i="1" s="1"/>
  <c r="U160" i="1" a="1"/>
  <c r="U160" i="1" s="1"/>
  <c r="U161" i="1" a="1"/>
  <c r="U161" i="1" s="1"/>
  <c r="U162" i="1" a="1"/>
  <c r="U162" i="1" s="1"/>
  <c r="U163" i="1" a="1"/>
  <c r="U163" i="1" s="1"/>
  <c r="U164" i="1" a="1"/>
  <c r="U164" i="1" s="1"/>
  <c r="U153" i="1" a="1"/>
  <c r="U153" i="1" s="1"/>
  <c r="U154" i="1" a="1"/>
  <c r="U154" i="1" s="1"/>
  <c r="U155" i="1" a="1"/>
  <c r="U155" i="1" s="1"/>
  <c r="U156" i="1" a="1"/>
  <c r="U156" i="1" s="1"/>
  <c r="U157" i="1" a="1"/>
  <c r="U157" i="1" s="1"/>
  <c r="U158" i="1" a="1"/>
  <c r="U158" i="1" s="1"/>
  <c r="U147" i="1" a="1"/>
  <c r="U147" i="1" s="1"/>
  <c r="U148" i="1" a="1"/>
  <c r="U148" i="1" s="1"/>
  <c r="U149" i="1" a="1"/>
  <c r="U149" i="1" s="1"/>
  <c r="U150" i="1" a="1"/>
  <c r="U150" i="1" s="1"/>
  <c r="U151" i="1" a="1"/>
  <c r="U151" i="1" s="1"/>
  <c r="U152" i="1" a="1"/>
  <c r="U152" i="1" s="1"/>
  <c r="U137" i="1" a="1"/>
  <c r="U137" i="1" s="1"/>
  <c r="U138" i="1" a="1"/>
  <c r="U138" i="1" s="1"/>
  <c r="U139" i="1" a="1"/>
  <c r="U139" i="1" s="1"/>
  <c r="U140" i="1" a="1"/>
  <c r="U140" i="1" s="1"/>
  <c r="U141" i="1" a="1"/>
  <c r="U141" i="1" s="1"/>
  <c r="U143" i="1" a="1"/>
  <c r="U143" i="1" s="1"/>
  <c r="U146" i="1" a="1"/>
  <c r="U146" i="1" s="1"/>
  <c r="U131" i="1" a="1"/>
  <c r="U131" i="1" s="1"/>
  <c r="U132" i="1" a="1"/>
  <c r="U132" i="1" s="1"/>
  <c r="U133" i="1" a="1"/>
  <c r="U133" i="1" s="1"/>
  <c r="U134" i="1" a="1"/>
  <c r="U134" i="1" s="1"/>
  <c r="U135" i="1" a="1"/>
  <c r="U135" i="1" s="1"/>
  <c r="U136" i="1" a="1"/>
  <c r="U136" i="1" s="1"/>
  <c r="U123" i="1" a="1"/>
  <c r="U123" i="1" s="1"/>
  <c r="U124" i="1" a="1"/>
  <c r="U124" i="1" s="1"/>
  <c r="U125" i="1" a="1"/>
  <c r="U125" i="1" s="1"/>
  <c r="U126" i="1" a="1"/>
  <c r="U126" i="1" s="1"/>
  <c r="U127" i="1" a="1"/>
  <c r="U127" i="1" s="1"/>
  <c r="U129" i="1" a="1"/>
  <c r="U129" i="1" s="1"/>
  <c r="U130" i="1" a="1"/>
  <c r="U130" i="1" s="1"/>
  <c r="U117" i="1" a="1"/>
  <c r="U117" i="1" s="1"/>
  <c r="U118" i="1" a="1"/>
  <c r="U118" i="1" s="1"/>
  <c r="U119" i="1" a="1"/>
  <c r="U119" i="1" s="1"/>
  <c r="U120" i="1" a="1"/>
  <c r="U120" i="1" s="1"/>
  <c r="U121" i="1" a="1"/>
  <c r="U121" i="1" s="1"/>
  <c r="U122" i="1" a="1"/>
  <c r="U122" i="1" s="1"/>
  <c r="U111" i="1" a="1"/>
  <c r="U111" i="1" s="1"/>
  <c r="U112" i="1" a="1"/>
  <c r="U112" i="1" s="1"/>
  <c r="U113" i="1" a="1"/>
  <c r="U113" i="1" s="1"/>
  <c r="U114" i="1" a="1"/>
  <c r="U114" i="1" s="1"/>
  <c r="U115" i="1" a="1"/>
  <c r="U115" i="1" s="1"/>
  <c r="U116" i="1" a="1"/>
  <c r="U116" i="1" s="1"/>
  <c r="U110" i="1" a="1"/>
  <c r="U110" i="1" s="1"/>
  <c r="U109" i="1" a="1"/>
  <c r="U109" i="1" s="1"/>
  <c r="U108" i="1" a="1"/>
  <c r="U108" i="1" s="1"/>
  <c r="U31" i="1" a="1"/>
  <c r="U31" i="1" s="1"/>
  <c r="U36" i="1" a="1"/>
  <c r="U36" i="1" s="1"/>
  <c r="U41" i="1" a="1"/>
  <c r="U41" i="1" s="1"/>
  <c r="U65" i="1" a="1"/>
  <c r="U65" i="1" s="1"/>
  <c r="U66" i="1" a="1"/>
  <c r="U66" i="1" s="1"/>
  <c r="U67" i="1" a="1"/>
  <c r="U67" i="1" s="1"/>
  <c r="U68" i="1" a="1"/>
  <c r="U68" i="1" s="1"/>
  <c r="U69" i="1" a="1"/>
  <c r="U69" i="1" s="1"/>
  <c r="U70" i="1" a="1"/>
  <c r="U70" i="1" s="1"/>
  <c r="U71" i="1" a="1"/>
  <c r="U71" i="1" s="1"/>
  <c r="U73" i="1" a="1"/>
  <c r="U73" i="1" s="1"/>
  <c r="U74" i="1" a="1"/>
  <c r="U74" i="1" s="1"/>
  <c r="U75" i="1" a="1"/>
  <c r="U75" i="1" s="1"/>
  <c r="U76" i="1" a="1"/>
  <c r="U76" i="1" s="1"/>
  <c r="U77" i="1" a="1"/>
  <c r="U77" i="1" s="1"/>
  <c r="U78" i="1" a="1"/>
  <c r="U78" i="1" s="1"/>
  <c r="U79" i="1" a="1"/>
  <c r="U79" i="1" s="1"/>
  <c r="U80" i="1" a="1"/>
  <c r="U80" i="1" s="1"/>
  <c r="U81" i="1" a="1"/>
  <c r="U81" i="1" s="1"/>
  <c r="U82" i="1" a="1"/>
  <c r="U82" i="1" s="1"/>
  <c r="U83" i="1" a="1"/>
  <c r="U83" i="1" s="1"/>
  <c r="U84" i="1" a="1"/>
  <c r="U84" i="1" s="1"/>
  <c r="U85" i="1" a="1"/>
  <c r="U85" i="1" s="1"/>
  <c r="U86" i="1" a="1"/>
  <c r="U86" i="1" s="1"/>
  <c r="U87" i="1" a="1"/>
  <c r="U87" i="1" s="1"/>
  <c r="U88" i="1" a="1"/>
  <c r="U88" i="1" s="1"/>
  <c r="U89" i="1" a="1"/>
  <c r="U89" i="1" s="1"/>
  <c r="U90" i="1" a="1"/>
  <c r="U90" i="1" s="1"/>
  <c r="U91" i="1" a="1"/>
  <c r="U91" i="1" s="1"/>
  <c r="U92" i="1" a="1"/>
  <c r="U92" i="1" s="1"/>
  <c r="U93" i="1" a="1"/>
  <c r="U93" i="1" s="1"/>
  <c r="U94" i="1" a="1"/>
  <c r="U94" i="1" s="1"/>
  <c r="U104" i="1" a="1"/>
  <c r="U104" i="1" s="1"/>
  <c r="U105" i="1" a="1"/>
  <c r="U105" i="1" s="1"/>
  <c r="U106" i="1" a="1"/>
  <c r="U106" i="1" s="1"/>
  <c r="U107" i="1" a="1"/>
  <c r="U107" i="1" s="1"/>
  <c r="U64" i="1" a="1"/>
  <c r="U64" i="1" s="1"/>
  <c r="U62" i="1" a="1"/>
  <c r="U62" i="1" s="1"/>
  <c r="U63" i="1" a="1"/>
  <c r="U63" i="1" s="1"/>
  <c r="U57" i="1" a="1"/>
  <c r="U57" i="1" s="1"/>
  <c r="U52" i="1" a="1"/>
  <c r="U52" i="1" s="1"/>
  <c r="U47" i="1" a="1"/>
  <c r="U47" i="1" s="1"/>
  <c r="E9" i="2"/>
  <c r="J6" i="4" s="1"/>
  <c r="D6" i="6" s="1"/>
  <c r="U50" i="1" a="1"/>
  <c r="U50" i="1" s="1"/>
  <c r="U51" i="1" a="1"/>
  <c r="U51" i="1" s="1"/>
  <c r="U53" i="1" a="1"/>
  <c r="U53" i="1" s="1"/>
  <c r="U54" i="1" a="1"/>
  <c r="U54" i="1" s="1"/>
  <c r="U55" i="1" a="1"/>
  <c r="U55" i="1" s="1"/>
  <c r="U56" i="1" a="1"/>
  <c r="U56" i="1" s="1"/>
  <c r="U58" i="1" a="1"/>
  <c r="U58" i="1" s="1"/>
  <c r="U59" i="1" a="1"/>
  <c r="U59" i="1" s="1"/>
  <c r="U60" i="1" a="1"/>
  <c r="U60" i="1" s="1"/>
  <c r="U61" i="1" a="1"/>
  <c r="U61" i="1" s="1"/>
  <c r="U45" i="1" a="1"/>
  <c r="U45" i="1" s="1"/>
  <c r="U46" i="1" a="1"/>
  <c r="U46" i="1" s="1"/>
  <c r="U48" i="1" a="1"/>
  <c r="U48" i="1" s="1"/>
  <c r="U49" i="1" a="1"/>
  <c r="U49" i="1" s="1"/>
  <c r="U39" i="1" a="1"/>
  <c r="U39" i="1" s="1"/>
  <c r="U40" i="1" a="1"/>
  <c r="U40" i="1" s="1"/>
  <c r="U43" i="1" a="1"/>
  <c r="U43" i="1" s="1"/>
  <c r="U44" i="1" a="1"/>
  <c r="U44" i="1" s="1"/>
  <c r="U32" i="1" a="1"/>
  <c r="U32" i="1" s="1"/>
  <c r="U33" i="1" a="1"/>
  <c r="U33" i="1" s="1"/>
  <c r="U34" i="1" a="1"/>
  <c r="U34" i="1" s="1"/>
  <c r="U35" i="1" a="1"/>
  <c r="U35" i="1" s="1"/>
  <c r="U37" i="1" a="1"/>
  <c r="U37" i="1" s="1"/>
  <c r="U38" i="1" a="1"/>
  <c r="U38" i="1" s="1"/>
  <c r="U30" i="1" a="1"/>
  <c r="U30" i="1" s="1"/>
  <c r="U14" i="1"/>
  <c r="U19" i="1"/>
  <c r="U24" i="1"/>
  <c r="U29" i="1"/>
  <c r="U9" i="1"/>
  <c r="R4" i="1"/>
  <c r="Q2" i="1"/>
  <c r="Q3" i="1" s="1"/>
  <c r="E4" i="2"/>
  <c r="J2" i="4" s="1"/>
  <c r="D2" i="6" s="1"/>
  <c r="E5" i="2"/>
  <c r="J3" i="4" s="1"/>
  <c r="D3" i="6" s="1"/>
  <c r="E7" i="2"/>
  <c r="J4" i="4" s="1"/>
  <c r="D4" i="6" s="1"/>
  <c r="E8" i="2"/>
  <c r="J5" i="4" s="1"/>
  <c r="D5" i="6" s="1"/>
  <c r="E11" i="2"/>
  <c r="J8" i="4" s="1"/>
  <c r="D8" i="6" s="1"/>
  <c r="E3" i="2"/>
  <c r="J1" i="4" s="1"/>
  <c r="D1" i="6" s="1"/>
  <c r="D3" i="2"/>
  <c r="I1" i="4" s="1"/>
  <c r="C1" i="6" s="1"/>
  <c r="D9" i="2"/>
  <c r="I6" i="4" s="1"/>
  <c r="C6" i="6" s="1"/>
  <c r="C9" i="2"/>
  <c r="H6" i="4" s="1"/>
  <c r="B6" i="6" s="1"/>
  <c r="D4" i="2"/>
  <c r="I2" i="4" s="1"/>
  <c r="C2" i="6" s="1"/>
  <c r="D5" i="2"/>
  <c r="I3" i="4" s="1"/>
  <c r="C3" i="6" s="1"/>
  <c r="D7" i="2"/>
  <c r="I4" i="4" s="1"/>
  <c r="C4" i="6" s="1"/>
  <c r="D8" i="2"/>
  <c r="I5" i="4" s="1"/>
  <c r="C5" i="6" s="1"/>
  <c r="D11" i="2"/>
  <c r="I8" i="4" s="1"/>
  <c r="C8" i="6" s="1"/>
  <c r="C4" i="2"/>
  <c r="C5" i="2"/>
  <c r="C7" i="2"/>
  <c r="H4" i="4" s="1"/>
  <c r="B4" i="6" s="1"/>
  <c r="C8" i="2"/>
  <c r="C11" i="2"/>
  <c r="H8" i="4" s="1"/>
  <c r="B8" i="6" s="1"/>
  <c r="C3" i="2"/>
  <c r="H1" i="4" s="1"/>
  <c r="B1" i="6" s="1"/>
  <c r="H42" i="1" l="1"/>
  <c r="J42" i="1"/>
  <c r="I42" i="1"/>
  <c r="J236" i="1"/>
  <c r="I236" i="1"/>
  <c r="H3" i="4"/>
  <c r="B3" i="6" s="1"/>
  <c r="N5" i="2"/>
  <c r="E3" i="6" s="1"/>
  <c r="H5" i="4"/>
  <c r="B5" i="6" s="1"/>
  <c r="N8" i="2"/>
  <c r="H2" i="4"/>
  <c r="B2" i="6" s="1"/>
  <c r="N4" i="2"/>
  <c r="E2" i="6" s="1"/>
  <c r="AE115" i="1"/>
  <c r="F1" i="3" s="1"/>
  <c r="J144" i="1"/>
  <c r="H144" i="1"/>
  <c r="I144" i="1"/>
  <c r="H25" i="1"/>
  <c r="I25" i="1"/>
  <c r="J25" i="1"/>
  <c r="H23" i="1"/>
  <c r="I23" i="1"/>
  <c r="J23" i="1"/>
  <c r="H22" i="1"/>
  <c r="I22" i="1"/>
  <c r="J22" i="1"/>
  <c r="J276" i="1"/>
  <c r="H276" i="1"/>
  <c r="I276" i="1"/>
  <c r="H142" i="1"/>
  <c r="I142" i="1"/>
  <c r="J142" i="1"/>
  <c r="H99" i="1"/>
  <c r="I99" i="1"/>
  <c r="J99" i="1"/>
  <c r="H327" i="1"/>
  <c r="I327" i="1"/>
  <c r="J327" i="1"/>
  <c r="I335" i="1"/>
  <c r="J335" i="1"/>
  <c r="H335" i="1"/>
  <c r="J20" i="1"/>
  <c r="I20" i="1"/>
  <c r="H20" i="1"/>
  <c r="H17" i="1"/>
  <c r="I17" i="1"/>
  <c r="J17" i="1"/>
  <c r="C159" i="2" s="1"/>
  <c r="J372" i="1"/>
  <c r="H372" i="1"/>
  <c r="I372" i="1"/>
  <c r="J72" i="1"/>
  <c r="H72" i="1"/>
  <c r="I72" i="1"/>
  <c r="J268" i="1"/>
  <c r="H268" i="1"/>
  <c r="I268" i="1"/>
  <c r="H28" i="1"/>
  <c r="I28" i="1"/>
  <c r="J28" i="1"/>
  <c r="G157" i="2"/>
  <c r="C166" i="2"/>
  <c r="C68" i="4" s="1"/>
  <c r="F33" i="2"/>
  <c r="F166" i="2"/>
  <c r="C167" i="2"/>
  <c r="C69" i="4" s="1"/>
  <c r="B160" i="2"/>
  <c r="B91" i="2"/>
  <c r="B26" i="2"/>
  <c r="G166" i="2"/>
  <c r="C168" i="2"/>
  <c r="B158" i="2"/>
  <c r="B76" i="2"/>
  <c r="F159" i="2"/>
  <c r="F167" i="2"/>
  <c r="C169" i="2"/>
  <c r="B161" i="2"/>
  <c r="B63" i="4" s="1"/>
  <c r="B77" i="2"/>
  <c r="B93" i="2"/>
  <c r="F36" i="2"/>
  <c r="G159" i="2"/>
  <c r="G167" i="2"/>
  <c r="C170" i="2"/>
  <c r="B162" i="2"/>
  <c r="B64" i="4" s="1"/>
  <c r="B94" i="2"/>
  <c r="F160" i="2"/>
  <c r="F168" i="2"/>
  <c r="B163" i="2"/>
  <c r="B65" i="4" s="1"/>
  <c r="B95" i="2"/>
  <c r="G160" i="2"/>
  <c r="G168" i="2"/>
  <c r="B164" i="2"/>
  <c r="B66" i="4" s="1"/>
  <c r="B80" i="2"/>
  <c r="B96" i="2"/>
  <c r="G152" i="2"/>
  <c r="G169" i="2"/>
  <c r="C160" i="2"/>
  <c r="F153" i="2"/>
  <c r="C158" i="2"/>
  <c r="D42" i="2"/>
  <c r="B167" i="2"/>
  <c r="B69" i="4" s="1"/>
  <c r="F152" i="2"/>
  <c r="F161" i="2"/>
  <c r="F169" i="2"/>
  <c r="B165" i="2"/>
  <c r="B97" i="2"/>
  <c r="G161" i="2"/>
  <c r="F170" i="2"/>
  <c r="B166" i="2"/>
  <c r="B68" i="4" s="1"/>
  <c r="G153" i="2"/>
  <c r="G170" i="2"/>
  <c r="C161" i="2"/>
  <c r="C63" i="4" s="1"/>
  <c r="F26" i="2"/>
  <c r="D43" i="2"/>
  <c r="B70" i="2"/>
  <c r="F47" i="2"/>
  <c r="C163" i="2"/>
  <c r="C65" i="4" s="1"/>
  <c r="C164" i="2"/>
  <c r="C66" i="4" s="1"/>
  <c r="C165" i="2"/>
  <c r="B51" i="2"/>
  <c r="B170" i="2"/>
  <c r="G164" i="2"/>
  <c r="C162" i="2"/>
  <c r="C64" i="4" s="1"/>
  <c r="D44" i="2"/>
  <c r="D45" i="2"/>
  <c r="D46" i="2"/>
  <c r="F157" i="2"/>
  <c r="B169" i="2"/>
  <c r="B168" i="2"/>
  <c r="F164" i="2"/>
  <c r="F32" i="2"/>
  <c r="K10" i="4"/>
  <c r="Y9" i="1"/>
  <c r="V9" i="1" s="1"/>
  <c r="R10" i="2"/>
  <c r="K7" i="4"/>
  <c r="R17" i="2"/>
  <c r="K12" i="4"/>
  <c r="Y46" i="1"/>
  <c r="V46" i="1" s="1"/>
  <c r="Y85" i="1"/>
  <c r="V85" i="1" s="1"/>
  <c r="Y133" i="1"/>
  <c r="V133" i="1" s="1"/>
  <c r="Y166" i="1"/>
  <c r="V166" i="1" s="1"/>
  <c r="Y407" i="1"/>
  <c r="V407" i="1" s="1"/>
  <c r="Y375" i="1"/>
  <c r="V375" i="1" s="1"/>
  <c r="Y336" i="1"/>
  <c r="V336" i="1" s="1"/>
  <c r="Y279" i="1"/>
  <c r="V279" i="1" s="1"/>
  <c r="Y226" i="1"/>
  <c r="V226" i="1" s="1"/>
  <c r="Y45" i="1"/>
  <c r="V45" i="1" s="1"/>
  <c r="Y67" i="1"/>
  <c r="V67" i="1" s="1"/>
  <c r="Y121" i="1"/>
  <c r="V121" i="1" s="1"/>
  <c r="Y427" i="1"/>
  <c r="V427" i="1" s="1"/>
  <c r="Y374" i="1"/>
  <c r="V374" i="1" s="1"/>
  <c r="Y334" i="1"/>
  <c r="V334" i="1" s="1"/>
  <c r="Y296" i="1"/>
  <c r="V296" i="1" s="1"/>
  <c r="Y225" i="1"/>
  <c r="V225" i="1" s="1"/>
  <c r="Y64" i="1"/>
  <c r="V64" i="1" s="1"/>
  <c r="Y66" i="1"/>
  <c r="V66" i="1" s="1"/>
  <c r="Y131" i="1"/>
  <c r="V131" i="1" s="1"/>
  <c r="Y176" i="1"/>
  <c r="V176" i="1" s="1"/>
  <c r="Y405" i="1"/>
  <c r="V405" i="1" s="1"/>
  <c r="Y352" i="1"/>
  <c r="V352" i="1" s="1"/>
  <c r="Y295" i="1"/>
  <c r="V295" i="1" s="1"/>
  <c r="Y191" i="1"/>
  <c r="V191" i="1" s="1"/>
  <c r="Y60" i="1"/>
  <c r="V60" i="1" s="1"/>
  <c r="Y82" i="1"/>
  <c r="V82" i="1" s="1"/>
  <c r="Y119" i="1"/>
  <c r="V119" i="1" s="1"/>
  <c r="Y155" i="1"/>
  <c r="V155" i="1" s="1"/>
  <c r="Y404" i="1"/>
  <c r="V404" i="1" s="1"/>
  <c r="Y351" i="1"/>
  <c r="V351" i="1" s="1"/>
  <c r="Y332" i="1"/>
  <c r="V332" i="1" s="1"/>
  <c r="Y240" i="1"/>
  <c r="V240" i="1" s="1"/>
  <c r="Y106" i="1"/>
  <c r="V106" i="1" s="1"/>
  <c r="Y41" i="1"/>
  <c r="V41" i="1" s="1"/>
  <c r="Y143" i="1"/>
  <c r="V143" i="1" s="1"/>
  <c r="Y174" i="1"/>
  <c r="V174" i="1" s="1"/>
  <c r="Y387" i="1"/>
  <c r="V387" i="1" s="1"/>
  <c r="Y350" i="1"/>
  <c r="V350" i="1" s="1"/>
  <c r="Y311" i="1"/>
  <c r="V311" i="1" s="1"/>
  <c r="Y274" i="1"/>
  <c r="V274" i="1" s="1"/>
  <c r="Y222" i="1"/>
  <c r="V222" i="1" s="1"/>
  <c r="Y189" i="1"/>
  <c r="V189" i="1" s="1"/>
  <c r="Y102" i="1"/>
  <c r="V102" i="1" s="1"/>
  <c r="Y58" i="1"/>
  <c r="V58" i="1" s="1"/>
  <c r="Y80" i="1"/>
  <c r="V80" i="1" s="1"/>
  <c r="Y117" i="1"/>
  <c r="V117" i="1" s="1"/>
  <c r="Y173" i="1"/>
  <c r="V173" i="1" s="1"/>
  <c r="Y402" i="1"/>
  <c r="V402" i="1" s="1"/>
  <c r="Y349" i="1"/>
  <c r="V349" i="1" s="1"/>
  <c r="Y273" i="1"/>
  <c r="V273" i="1" s="1"/>
  <c r="Y254" i="1"/>
  <c r="V254" i="1" s="1"/>
  <c r="Y221" i="1"/>
  <c r="V221" i="1" s="1"/>
  <c r="Y204" i="1"/>
  <c r="V204" i="1" s="1"/>
  <c r="Y188" i="1"/>
  <c r="V188" i="1" s="1"/>
  <c r="Y56" i="1"/>
  <c r="V56" i="1" s="1"/>
  <c r="Y79" i="1"/>
  <c r="V79" i="1" s="1"/>
  <c r="Y130" i="1"/>
  <c r="V130" i="1" s="1"/>
  <c r="Y164" i="1"/>
  <c r="V164" i="1" s="1"/>
  <c r="Y401" i="1"/>
  <c r="V401" i="1" s="1"/>
  <c r="Y368" i="1"/>
  <c r="V368" i="1" s="1"/>
  <c r="Y328" i="1"/>
  <c r="V328" i="1" s="1"/>
  <c r="Y270" i="1"/>
  <c r="V270" i="1" s="1"/>
  <c r="Y55" i="1"/>
  <c r="V55" i="1" s="1"/>
  <c r="Y108" i="1"/>
  <c r="V108" i="1" s="1"/>
  <c r="Y171" i="1"/>
  <c r="V171" i="1" s="1"/>
  <c r="Y384" i="1"/>
  <c r="V384" i="1" s="1"/>
  <c r="Y347" i="1"/>
  <c r="V347" i="1" s="1"/>
  <c r="Y235" i="1"/>
  <c r="V235" i="1" s="1"/>
  <c r="Y33" i="1"/>
  <c r="V33" i="1" s="1"/>
  <c r="Y93" i="1"/>
  <c r="V93" i="1" s="1"/>
  <c r="Y127" i="1"/>
  <c r="V127" i="1" s="1"/>
  <c r="Y162" i="1"/>
  <c r="V162" i="1" s="1"/>
  <c r="Y418" i="1"/>
  <c r="V418" i="1" s="1"/>
  <c r="Y365" i="1"/>
  <c r="V365" i="1" s="1"/>
  <c r="Y306" i="1"/>
  <c r="V306" i="1" s="1"/>
  <c r="Y377" i="1"/>
  <c r="V377" i="1" s="1"/>
  <c r="Y356" i="1"/>
  <c r="V356" i="1" s="1"/>
  <c r="Y338" i="1"/>
  <c r="V338" i="1" s="1"/>
  <c r="Y318" i="1"/>
  <c r="V318" i="1" s="1"/>
  <c r="Y299" i="1"/>
  <c r="V299" i="1" s="1"/>
  <c r="Y282" i="1"/>
  <c r="V282" i="1" s="1"/>
  <c r="Y261" i="1"/>
  <c r="V261" i="1" s="1"/>
  <c r="Y245" i="1"/>
  <c r="V245" i="1" s="1"/>
  <c r="Y228" i="1"/>
  <c r="V228" i="1" s="1"/>
  <c r="Y212" i="1"/>
  <c r="V212" i="1" s="1"/>
  <c r="Y195" i="1"/>
  <c r="V195" i="1" s="1"/>
  <c r="Y179" i="1"/>
  <c r="V179" i="1" s="1"/>
  <c r="Y24" i="1"/>
  <c r="V24" i="1" s="1"/>
  <c r="Y63" i="1"/>
  <c r="V63" i="1" s="1"/>
  <c r="Y68" i="1"/>
  <c r="V68" i="1" s="1"/>
  <c r="Y122" i="1"/>
  <c r="V122" i="1" s="1"/>
  <c r="Y158" i="1"/>
  <c r="V158" i="1" s="1"/>
  <c r="Y428" i="1"/>
  <c r="V428" i="1" s="1"/>
  <c r="Y391" i="1"/>
  <c r="V391" i="1" s="1"/>
  <c r="Y354" i="1"/>
  <c r="V354" i="1" s="1"/>
  <c r="Y316" i="1"/>
  <c r="V316" i="1" s="1"/>
  <c r="Y297" i="1"/>
  <c r="V297" i="1" s="1"/>
  <c r="Y259" i="1"/>
  <c r="V259" i="1" s="1"/>
  <c r="Y243" i="1"/>
  <c r="V243" i="1" s="1"/>
  <c r="Y210" i="1"/>
  <c r="V210" i="1" s="1"/>
  <c r="Y193" i="1"/>
  <c r="V193" i="1" s="1"/>
  <c r="Y177" i="1"/>
  <c r="V177" i="1" s="1"/>
  <c r="Y19" i="1"/>
  <c r="V19" i="1" s="1"/>
  <c r="Y62" i="1"/>
  <c r="V62" i="1" s="1"/>
  <c r="Y84" i="1"/>
  <c r="V84" i="1" s="1"/>
  <c r="Y132" i="1"/>
  <c r="V132" i="1" s="1"/>
  <c r="Y157" i="1"/>
  <c r="V157" i="1" s="1"/>
  <c r="Y165" i="1"/>
  <c r="V165" i="1" s="1"/>
  <c r="Y406" i="1"/>
  <c r="V406" i="1" s="1"/>
  <c r="Y390" i="1"/>
  <c r="V390" i="1" s="1"/>
  <c r="Y353" i="1"/>
  <c r="V353" i="1" s="1"/>
  <c r="Y315" i="1"/>
  <c r="V315" i="1" s="1"/>
  <c r="Y278" i="1"/>
  <c r="V278" i="1" s="1"/>
  <c r="Y258" i="1"/>
  <c r="V258" i="1" s="1"/>
  <c r="Y242" i="1"/>
  <c r="V242" i="1" s="1"/>
  <c r="Y209" i="1"/>
  <c r="V209" i="1" s="1"/>
  <c r="Y192" i="1"/>
  <c r="V192" i="1" s="1"/>
  <c r="Y95" i="1"/>
  <c r="V95" i="1" s="1"/>
  <c r="Y14" i="1"/>
  <c r="V14" i="1" s="1"/>
  <c r="Y61" i="1"/>
  <c r="V61" i="1" s="1"/>
  <c r="Y83" i="1"/>
  <c r="V83" i="1" s="1"/>
  <c r="Y120" i="1"/>
  <c r="V120" i="1" s="1"/>
  <c r="Y156" i="1"/>
  <c r="V156" i="1" s="1"/>
  <c r="Y426" i="1"/>
  <c r="V426" i="1" s="1"/>
  <c r="Y389" i="1"/>
  <c r="V389" i="1" s="1"/>
  <c r="Y373" i="1"/>
  <c r="V373" i="1" s="1"/>
  <c r="Y333" i="1"/>
  <c r="V333" i="1" s="1"/>
  <c r="Y313" i="1"/>
  <c r="V313" i="1" s="1"/>
  <c r="Y277" i="1"/>
  <c r="V277" i="1" s="1"/>
  <c r="Y257" i="1"/>
  <c r="V257" i="1" s="1"/>
  <c r="Y241" i="1"/>
  <c r="V241" i="1" s="1"/>
  <c r="Y224" i="1"/>
  <c r="V224" i="1" s="1"/>
  <c r="Y208" i="1"/>
  <c r="V208" i="1" s="1"/>
  <c r="Y96" i="1"/>
  <c r="V96" i="1" s="1"/>
  <c r="Y30" i="1"/>
  <c r="V30" i="1" s="1"/>
  <c r="Y107" i="1"/>
  <c r="V107" i="1" s="1"/>
  <c r="Y65" i="1"/>
  <c r="V65" i="1" s="1"/>
  <c r="Y146" i="1"/>
  <c r="V146" i="1" s="1"/>
  <c r="Y175" i="1"/>
  <c r="V175" i="1" s="1"/>
  <c r="Y425" i="1"/>
  <c r="V425" i="1" s="1"/>
  <c r="Y388" i="1"/>
  <c r="V388" i="1" s="1"/>
  <c r="Y371" i="1"/>
  <c r="V371" i="1" s="1"/>
  <c r="Y312" i="1"/>
  <c r="V312" i="1" s="1"/>
  <c r="Y294" i="1"/>
  <c r="V294" i="1" s="1"/>
  <c r="Y275" i="1"/>
  <c r="V275" i="1" s="1"/>
  <c r="Y256" i="1"/>
  <c r="V256" i="1" s="1"/>
  <c r="Y223" i="1"/>
  <c r="V223" i="1" s="1"/>
  <c r="Y207" i="1"/>
  <c r="V207" i="1" s="1"/>
  <c r="Y190" i="1"/>
  <c r="V190" i="1" s="1"/>
  <c r="Y103" i="1"/>
  <c r="V103" i="1" s="1"/>
  <c r="Y38" i="1"/>
  <c r="V38" i="1" s="1"/>
  <c r="Y59" i="1"/>
  <c r="V59" i="1" s="1"/>
  <c r="Y81" i="1"/>
  <c r="V81" i="1" s="1"/>
  <c r="Y118" i="1"/>
  <c r="V118" i="1" s="1"/>
  <c r="Y154" i="1"/>
  <c r="V154" i="1" s="1"/>
  <c r="Y423" i="1"/>
  <c r="V423" i="1" s="1"/>
  <c r="Y403" i="1"/>
  <c r="V403" i="1" s="1"/>
  <c r="Y370" i="1"/>
  <c r="V370" i="1" s="1"/>
  <c r="Y331" i="1"/>
  <c r="V331" i="1" s="1"/>
  <c r="Y293" i="1"/>
  <c r="V293" i="1" s="1"/>
  <c r="Y255" i="1"/>
  <c r="V255" i="1" s="1"/>
  <c r="Y239" i="1"/>
  <c r="V239" i="1" s="1"/>
  <c r="Y206" i="1"/>
  <c r="V206" i="1" s="1"/>
  <c r="Y37" i="1"/>
  <c r="V37" i="1" s="1"/>
  <c r="Y105" i="1"/>
  <c r="V105" i="1" s="1"/>
  <c r="Y36" i="1"/>
  <c r="V36" i="1" s="1"/>
  <c r="Y141" i="1"/>
  <c r="V141" i="1" s="1"/>
  <c r="Y153" i="1"/>
  <c r="V153" i="1" s="1"/>
  <c r="Y422" i="1"/>
  <c r="V422" i="1" s="1"/>
  <c r="Y386" i="1"/>
  <c r="V386" i="1" s="1"/>
  <c r="Y369" i="1"/>
  <c r="V369" i="1" s="1"/>
  <c r="Y330" i="1"/>
  <c r="V330" i="1" s="1"/>
  <c r="Y310" i="1"/>
  <c r="V310" i="1" s="1"/>
  <c r="Y292" i="1"/>
  <c r="V292" i="1" s="1"/>
  <c r="Y238" i="1"/>
  <c r="V238" i="1" s="1"/>
  <c r="Y101" i="1"/>
  <c r="V101" i="1" s="1"/>
  <c r="Y35" i="1"/>
  <c r="V35" i="1" s="1"/>
  <c r="Y104" i="1"/>
  <c r="V104" i="1" s="1"/>
  <c r="Y31" i="1"/>
  <c r="V31" i="1" s="1"/>
  <c r="Y140" i="1"/>
  <c r="V140" i="1" s="1"/>
  <c r="Y172" i="1"/>
  <c r="V172" i="1" s="1"/>
  <c r="Y420" i="1"/>
  <c r="V420" i="1" s="1"/>
  <c r="Y385" i="1"/>
  <c r="V385" i="1" s="1"/>
  <c r="Y348" i="1"/>
  <c r="V348" i="1" s="1"/>
  <c r="Y309" i="1"/>
  <c r="V309" i="1" s="1"/>
  <c r="Y291" i="1"/>
  <c r="V291" i="1" s="1"/>
  <c r="Y253" i="1"/>
  <c r="V253" i="1" s="1"/>
  <c r="Y237" i="1"/>
  <c r="V237" i="1" s="1"/>
  <c r="Y220" i="1"/>
  <c r="V220" i="1" s="1"/>
  <c r="Y203" i="1"/>
  <c r="V203" i="1" s="1"/>
  <c r="Y187" i="1"/>
  <c r="V187" i="1" s="1"/>
  <c r="Y100" i="1"/>
  <c r="V100" i="1" s="1"/>
  <c r="Y34" i="1"/>
  <c r="V34" i="1" s="1"/>
  <c r="Y94" i="1"/>
  <c r="V94" i="1" s="1"/>
  <c r="Y78" i="1"/>
  <c r="V78" i="1" s="1"/>
  <c r="Y129" i="1"/>
  <c r="V129" i="1" s="1"/>
  <c r="Y139" i="1"/>
  <c r="V139" i="1" s="1"/>
  <c r="Y163" i="1"/>
  <c r="V163" i="1" s="1"/>
  <c r="Y419" i="1"/>
  <c r="V419" i="1" s="1"/>
  <c r="Y400" i="1"/>
  <c r="V400" i="1" s="1"/>
  <c r="Y367" i="1"/>
  <c r="V367" i="1" s="1"/>
  <c r="Y326" i="1"/>
  <c r="V326" i="1" s="1"/>
  <c r="Y308" i="1"/>
  <c r="V308" i="1" s="1"/>
  <c r="Y290" i="1"/>
  <c r="V290" i="1" s="1"/>
  <c r="Y269" i="1"/>
  <c r="V269" i="1" s="1"/>
  <c r="Y252" i="1"/>
  <c r="V252" i="1" s="1"/>
  <c r="Y219" i="1"/>
  <c r="V219" i="1" s="1"/>
  <c r="Y202" i="1"/>
  <c r="V202" i="1" s="1"/>
  <c r="Y186" i="1"/>
  <c r="V186" i="1" s="1"/>
  <c r="V98" i="1"/>
  <c r="Y54" i="1"/>
  <c r="V54" i="1" s="1"/>
  <c r="Y77" i="1"/>
  <c r="V77" i="1" s="1"/>
  <c r="Y109" i="1"/>
  <c r="V109" i="1" s="1"/>
  <c r="Y138" i="1"/>
  <c r="V138" i="1" s="1"/>
  <c r="Y437" i="1"/>
  <c r="V437" i="1" s="1"/>
  <c r="Y399" i="1"/>
  <c r="V399" i="1" s="1"/>
  <c r="Y383" i="1"/>
  <c r="V383" i="1" s="1"/>
  <c r="Y346" i="1"/>
  <c r="V346" i="1" s="1"/>
  <c r="Y325" i="1"/>
  <c r="V325" i="1" s="1"/>
  <c r="Y289" i="1"/>
  <c r="V289" i="1" s="1"/>
  <c r="Y267" i="1"/>
  <c r="V267" i="1" s="1"/>
  <c r="Y251" i="1"/>
  <c r="V251" i="1" s="1"/>
  <c r="Y234" i="1"/>
  <c r="V234" i="1" s="1"/>
  <c r="Y218" i="1"/>
  <c r="V218" i="1" s="1"/>
  <c r="Y201" i="1"/>
  <c r="V201" i="1" s="1"/>
  <c r="Y185" i="1"/>
  <c r="V185" i="1" s="1"/>
  <c r="Y97" i="1"/>
  <c r="V97" i="1" s="1"/>
  <c r="Y32" i="1"/>
  <c r="V32" i="1" s="1"/>
  <c r="Y53" i="1"/>
  <c r="V53" i="1" s="1"/>
  <c r="Y92" i="1"/>
  <c r="V92" i="1" s="1"/>
  <c r="Y76" i="1"/>
  <c r="V76" i="1" s="1"/>
  <c r="Y110" i="1"/>
  <c r="V110" i="1" s="1"/>
  <c r="Y126" i="1"/>
  <c r="V126" i="1" s="1"/>
  <c r="Y137" i="1"/>
  <c r="V137" i="1" s="1"/>
  <c r="Y161" i="1"/>
  <c r="V161" i="1" s="1"/>
  <c r="Y436" i="1"/>
  <c r="V436" i="1" s="1"/>
  <c r="Y417" i="1"/>
  <c r="V417" i="1" s="1"/>
  <c r="Y398" i="1"/>
  <c r="V398" i="1" s="1"/>
  <c r="Y382" i="1"/>
  <c r="V382" i="1" s="1"/>
  <c r="Y364" i="1"/>
  <c r="V364" i="1" s="1"/>
  <c r="Y345" i="1"/>
  <c r="V345" i="1" s="1"/>
  <c r="Y324" i="1"/>
  <c r="V324" i="1" s="1"/>
  <c r="Y305" i="1"/>
  <c r="V305" i="1" s="1"/>
  <c r="Y288" i="1"/>
  <c r="V288" i="1" s="1"/>
  <c r="Y266" i="1"/>
  <c r="V266" i="1" s="1"/>
  <c r="Y250" i="1"/>
  <c r="V250" i="1" s="1"/>
  <c r="Y233" i="1"/>
  <c r="V233" i="1" s="1"/>
  <c r="Y217" i="1"/>
  <c r="V217" i="1" s="1"/>
  <c r="Y200" i="1"/>
  <c r="V200" i="1" s="1"/>
  <c r="Y184" i="1"/>
  <c r="V184" i="1" s="1"/>
  <c r="Y44" i="1"/>
  <c r="V44" i="1" s="1"/>
  <c r="Y51" i="1"/>
  <c r="V51" i="1" s="1"/>
  <c r="Y91" i="1"/>
  <c r="V91" i="1" s="1"/>
  <c r="Y75" i="1"/>
  <c r="V75" i="1" s="1"/>
  <c r="Y116" i="1"/>
  <c r="V116" i="1" s="1"/>
  <c r="Y125" i="1"/>
  <c r="V125" i="1" s="1"/>
  <c r="Y152" i="1"/>
  <c r="V152" i="1" s="1"/>
  <c r="Y160" i="1"/>
  <c r="V160" i="1" s="1"/>
  <c r="Y435" i="1"/>
  <c r="V435" i="1" s="1"/>
  <c r="Y416" i="1"/>
  <c r="V416" i="1" s="1"/>
  <c r="Y397" i="1"/>
  <c r="V397" i="1" s="1"/>
  <c r="Y381" i="1"/>
  <c r="V381" i="1" s="1"/>
  <c r="Y363" i="1"/>
  <c r="V363" i="1" s="1"/>
  <c r="Y342" i="1"/>
  <c r="V342" i="1" s="1"/>
  <c r="Y323" i="1"/>
  <c r="V323" i="1" s="1"/>
  <c r="Y304" i="1"/>
  <c r="V304" i="1" s="1"/>
  <c r="Y286" i="1"/>
  <c r="V286" i="1" s="1"/>
  <c r="Y265" i="1"/>
  <c r="V265" i="1" s="1"/>
  <c r="Y249" i="1"/>
  <c r="V249" i="1" s="1"/>
  <c r="Y232" i="1"/>
  <c r="V232" i="1" s="1"/>
  <c r="Y216" i="1"/>
  <c r="V216" i="1" s="1"/>
  <c r="Y199" i="1"/>
  <c r="V199" i="1" s="1"/>
  <c r="Y183" i="1"/>
  <c r="V183" i="1" s="1"/>
  <c r="Y43" i="1"/>
  <c r="V43" i="1" s="1"/>
  <c r="Y50" i="1"/>
  <c r="V50" i="1" s="1"/>
  <c r="Y90" i="1"/>
  <c r="V90" i="1" s="1"/>
  <c r="Y74" i="1"/>
  <c r="V74" i="1" s="1"/>
  <c r="Y115" i="1"/>
  <c r="V115" i="1" s="1"/>
  <c r="Y124" i="1"/>
  <c r="V124" i="1" s="1"/>
  <c r="Y151" i="1"/>
  <c r="V151" i="1" s="1"/>
  <c r="Y159" i="1"/>
  <c r="V159" i="1" s="1"/>
  <c r="Y434" i="1"/>
  <c r="V434" i="1" s="1"/>
  <c r="Y414" i="1"/>
  <c r="V414" i="1" s="1"/>
  <c r="Y396" i="1"/>
  <c r="V396" i="1" s="1"/>
  <c r="Y380" i="1"/>
  <c r="V380" i="1" s="1"/>
  <c r="Y362" i="1"/>
  <c r="V362" i="1" s="1"/>
  <c r="Y341" i="1"/>
  <c r="V341" i="1" s="1"/>
  <c r="Y322" i="1"/>
  <c r="V322" i="1" s="1"/>
  <c r="Y303" i="1"/>
  <c r="V303" i="1" s="1"/>
  <c r="Y285" i="1"/>
  <c r="V285" i="1" s="1"/>
  <c r="Y264" i="1"/>
  <c r="V264" i="1" s="1"/>
  <c r="Y248" i="1"/>
  <c r="V248" i="1" s="1"/>
  <c r="Y231" i="1"/>
  <c r="V231" i="1" s="1"/>
  <c r="Y215" i="1"/>
  <c r="V215" i="1" s="1"/>
  <c r="Y198" i="1"/>
  <c r="V198" i="1" s="1"/>
  <c r="Y182" i="1"/>
  <c r="V182" i="1" s="1"/>
  <c r="Y40" i="1"/>
  <c r="V40" i="1" s="1"/>
  <c r="Y89" i="1"/>
  <c r="V89" i="1" s="1"/>
  <c r="Y73" i="1"/>
  <c r="V73" i="1" s="1"/>
  <c r="Y114" i="1"/>
  <c r="V114" i="1" s="1"/>
  <c r="Y123" i="1"/>
  <c r="V123" i="1" s="1"/>
  <c r="Y150" i="1"/>
  <c r="V150" i="1" s="1"/>
  <c r="Y170" i="1"/>
  <c r="V170" i="1" s="1"/>
  <c r="Y433" i="1"/>
  <c r="V433" i="1" s="1"/>
  <c r="Y411" i="1"/>
  <c r="V411" i="1" s="1"/>
  <c r="Y395" i="1"/>
  <c r="V395" i="1" s="1"/>
  <c r="Y379" i="1"/>
  <c r="V379" i="1" s="1"/>
  <c r="Y361" i="1"/>
  <c r="V361" i="1" s="1"/>
  <c r="Y340" i="1"/>
  <c r="V340" i="1" s="1"/>
  <c r="Y320" i="1"/>
  <c r="V320" i="1" s="1"/>
  <c r="Y302" i="1"/>
  <c r="V302" i="1" s="1"/>
  <c r="Y284" i="1"/>
  <c r="V284" i="1" s="1"/>
  <c r="Y263" i="1"/>
  <c r="V263" i="1" s="1"/>
  <c r="Y247" i="1"/>
  <c r="V247" i="1" s="1"/>
  <c r="Y230" i="1"/>
  <c r="V230" i="1" s="1"/>
  <c r="Y214" i="1"/>
  <c r="V214" i="1" s="1"/>
  <c r="Y197" i="1"/>
  <c r="V197" i="1" s="1"/>
  <c r="Y181" i="1"/>
  <c r="V181" i="1" s="1"/>
  <c r="Y39" i="1"/>
  <c r="V39" i="1" s="1"/>
  <c r="Y47" i="1"/>
  <c r="V47" i="1" s="1"/>
  <c r="Y88" i="1"/>
  <c r="V88" i="1" s="1"/>
  <c r="Y71" i="1"/>
  <c r="V71" i="1" s="1"/>
  <c r="Y113" i="1"/>
  <c r="V113" i="1" s="1"/>
  <c r="Y136" i="1"/>
  <c r="V136" i="1" s="1"/>
  <c r="Y149" i="1"/>
  <c r="V149" i="1" s="1"/>
  <c r="Y169" i="1"/>
  <c r="V169" i="1" s="1"/>
  <c r="Y432" i="1"/>
  <c r="V432" i="1" s="1"/>
  <c r="Y410" i="1"/>
  <c r="V410" i="1" s="1"/>
  <c r="Y394" i="1"/>
  <c r="V394" i="1" s="1"/>
  <c r="Y378" i="1"/>
  <c r="V378" i="1" s="1"/>
  <c r="Y360" i="1"/>
  <c r="V360" i="1" s="1"/>
  <c r="Y339" i="1"/>
  <c r="V339" i="1" s="1"/>
  <c r="Y319" i="1"/>
  <c r="V319" i="1" s="1"/>
  <c r="Y301" i="1"/>
  <c r="V301" i="1" s="1"/>
  <c r="Y283" i="1"/>
  <c r="V283" i="1" s="1"/>
  <c r="Y262" i="1"/>
  <c r="V262" i="1" s="1"/>
  <c r="Y246" i="1"/>
  <c r="V246" i="1" s="1"/>
  <c r="Y229" i="1"/>
  <c r="V229" i="1" s="1"/>
  <c r="Y213" i="1"/>
  <c r="V213" i="1" s="1"/>
  <c r="Y196" i="1"/>
  <c r="V196" i="1" s="1"/>
  <c r="Y180" i="1"/>
  <c r="V180" i="1" s="1"/>
  <c r="Y49" i="1"/>
  <c r="V49" i="1" s="1"/>
  <c r="Y52" i="1"/>
  <c r="V52" i="1" s="1"/>
  <c r="Y87" i="1"/>
  <c r="V87" i="1" s="1"/>
  <c r="Y70" i="1"/>
  <c r="V70" i="1" s="1"/>
  <c r="Y112" i="1"/>
  <c r="V112" i="1" s="1"/>
  <c r="Y135" i="1"/>
  <c r="V135" i="1" s="1"/>
  <c r="Y148" i="1"/>
  <c r="V148" i="1" s="1"/>
  <c r="Y168" i="1"/>
  <c r="V168" i="1" s="1"/>
  <c r="Y431" i="1"/>
  <c r="V431" i="1" s="1"/>
  <c r="Y409" i="1"/>
  <c r="V409" i="1" s="1"/>
  <c r="Y393" i="1"/>
  <c r="V393" i="1" s="1"/>
  <c r="Y29" i="1"/>
  <c r="V29" i="1" s="1"/>
  <c r="Y48" i="1"/>
  <c r="V48" i="1" s="1"/>
  <c r="Y57" i="1"/>
  <c r="V57" i="1" s="1"/>
  <c r="Y86" i="1"/>
  <c r="V86" i="1" s="1"/>
  <c r="Y69" i="1"/>
  <c r="V69" i="1" s="1"/>
  <c r="Y111" i="1"/>
  <c r="V111" i="1" s="1"/>
  <c r="Y134" i="1"/>
  <c r="V134" i="1" s="1"/>
  <c r="Y147" i="1"/>
  <c r="V147" i="1" s="1"/>
  <c r="Y167" i="1"/>
  <c r="V167" i="1" s="1"/>
  <c r="Y430" i="1"/>
  <c r="V430" i="1" s="1"/>
  <c r="Y408" i="1"/>
  <c r="V408" i="1" s="1"/>
  <c r="Y392" i="1"/>
  <c r="V392" i="1" s="1"/>
  <c r="Y376" i="1"/>
  <c r="V376" i="1" s="1"/>
  <c r="Y355" i="1"/>
  <c r="V355" i="1" s="1"/>
  <c r="Y337" i="1"/>
  <c r="V337" i="1" s="1"/>
  <c r="Y317" i="1"/>
  <c r="V317" i="1" s="1"/>
  <c r="Y298" i="1"/>
  <c r="V298" i="1" s="1"/>
  <c r="Y281" i="1"/>
  <c r="V281" i="1" s="1"/>
  <c r="Y260" i="1"/>
  <c r="V260" i="1" s="1"/>
  <c r="Y244" i="1"/>
  <c r="V244" i="1" s="1"/>
  <c r="Y227" i="1"/>
  <c r="V227" i="1" s="1"/>
  <c r="Y211" i="1"/>
  <c r="V211" i="1" s="1"/>
  <c r="Y194" i="1"/>
  <c r="V194" i="1" s="1"/>
  <c r="Y178" i="1"/>
  <c r="V178" i="1" s="1"/>
  <c r="W9" i="1"/>
  <c r="W4" i="2"/>
  <c r="U3" i="2"/>
  <c r="T3" i="2"/>
  <c r="N11" i="2"/>
  <c r="E7" i="6" s="1"/>
  <c r="O11" i="2"/>
  <c r="O5" i="2"/>
  <c r="O4" i="2"/>
  <c r="O3" i="2"/>
  <c r="N3" i="2"/>
  <c r="E1" i="6" s="1"/>
  <c r="E5" i="6"/>
  <c r="O8" i="2"/>
  <c r="N7" i="2"/>
  <c r="E4" i="6" s="1"/>
  <c r="O7" i="2"/>
  <c r="N9" i="2"/>
  <c r="E6" i="6" s="1"/>
  <c r="O9" i="2"/>
  <c r="F4" i="2"/>
  <c r="F9" i="2"/>
  <c r="F7" i="2"/>
  <c r="F11" i="2"/>
  <c r="F8" i="2"/>
  <c r="F5" i="2"/>
  <c r="F3" i="2"/>
  <c r="H157" i="2" l="1"/>
  <c r="I157" i="2" s="1"/>
  <c r="H38" i="1"/>
  <c r="I38" i="1"/>
  <c r="J38" i="1"/>
  <c r="H410" i="1"/>
  <c r="I410" i="1"/>
  <c r="J410" i="1"/>
  <c r="C61" i="4"/>
  <c r="B62" i="4"/>
  <c r="C62" i="4"/>
  <c r="H427" i="1"/>
  <c r="I427" i="1"/>
  <c r="J427" i="1"/>
  <c r="H414" i="1"/>
  <c r="I414" i="1"/>
  <c r="J414" i="1"/>
  <c r="I419" i="1"/>
  <c r="J419" i="1"/>
  <c r="H419" i="1"/>
  <c r="J180" i="1"/>
  <c r="H180" i="1"/>
  <c r="I180" i="1"/>
  <c r="H266" i="1"/>
  <c r="I266" i="1"/>
  <c r="J266" i="1"/>
  <c r="J71" i="1"/>
  <c r="H71" i="1"/>
  <c r="I71" i="1"/>
  <c r="H411" i="1"/>
  <c r="I411" i="1"/>
  <c r="J411" i="1"/>
  <c r="I255" i="1"/>
  <c r="J255" i="1"/>
  <c r="H255" i="1"/>
  <c r="H331" i="1"/>
  <c r="I331" i="1"/>
  <c r="J331" i="1"/>
  <c r="I354" i="1"/>
  <c r="J354" i="1"/>
  <c r="H354" i="1"/>
  <c r="H181" i="1"/>
  <c r="I181" i="1"/>
  <c r="J181" i="1"/>
  <c r="H269" i="1"/>
  <c r="I269" i="1"/>
  <c r="J269" i="1"/>
  <c r="H51" i="1"/>
  <c r="I51" i="1"/>
  <c r="J51" i="1"/>
  <c r="I377" i="1"/>
  <c r="H377" i="1"/>
  <c r="J377" i="1"/>
  <c r="H368" i="1"/>
  <c r="I368" i="1"/>
  <c r="J368" i="1"/>
  <c r="H44" i="1"/>
  <c r="I44" i="1"/>
  <c r="J44" i="1"/>
  <c r="J308" i="1"/>
  <c r="H308" i="1"/>
  <c r="I308" i="1"/>
  <c r="I175" i="1"/>
  <c r="J175" i="1"/>
  <c r="H175" i="1"/>
  <c r="H157" i="1"/>
  <c r="I157" i="1"/>
  <c r="J157" i="1"/>
  <c r="I401" i="1"/>
  <c r="J401" i="1"/>
  <c r="H401" i="1"/>
  <c r="H304" i="1"/>
  <c r="I304" i="1"/>
  <c r="J304" i="1"/>
  <c r="J340" i="1"/>
  <c r="I340" i="1"/>
  <c r="H340" i="1"/>
  <c r="J196" i="1"/>
  <c r="H196" i="1"/>
  <c r="I196" i="1"/>
  <c r="I143" i="1"/>
  <c r="J143" i="1"/>
  <c r="H143" i="1"/>
  <c r="J100" i="1"/>
  <c r="H100" i="1"/>
  <c r="I100" i="1"/>
  <c r="H409" i="1"/>
  <c r="I409" i="1"/>
  <c r="J409" i="1"/>
  <c r="J116" i="1"/>
  <c r="H116" i="1"/>
  <c r="I116" i="1"/>
  <c r="H187" i="1"/>
  <c r="I187" i="1"/>
  <c r="J187" i="1"/>
  <c r="I318" i="1"/>
  <c r="J318" i="1"/>
  <c r="H318" i="1"/>
  <c r="H301" i="1"/>
  <c r="I301" i="1"/>
  <c r="J301" i="1"/>
  <c r="H371" i="1"/>
  <c r="J371" i="1"/>
  <c r="I371" i="1"/>
  <c r="H390" i="1"/>
  <c r="I390" i="1"/>
  <c r="J390" i="1"/>
  <c r="H338" i="1"/>
  <c r="I338" i="1"/>
  <c r="J338" i="1"/>
  <c r="H168" i="1"/>
  <c r="I168" i="1"/>
  <c r="J168" i="1"/>
  <c r="H328" i="1"/>
  <c r="I328" i="1"/>
  <c r="J328" i="1"/>
  <c r="I392" i="1"/>
  <c r="J392" i="1"/>
  <c r="H392" i="1"/>
  <c r="H135" i="1"/>
  <c r="I135" i="1"/>
  <c r="J135" i="1"/>
  <c r="I253" i="1"/>
  <c r="J253" i="1"/>
  <c r="H253" i="1"/>
  <c r="J156" i="1"/>
  <c r="H156" i="1"/>
  <c r="I156" i="1"/>
  <c r="I89" i="1"/>
  <c r="J89" i="1"/>
  <c r="H89" i="1"/>
  <c r="J184" i="1"/>
  <c r="H184" i="1"/>
  <c r="I184" i="1"/>
  <c r="H120" i="1"/>
  <c r="I120" i="1"/>
  <c r="J120" i="1"/>
  <c r="H82" i="1"/>
  <c r="I82" i="1"/>
  <c r="J82" i="1"/>
  <c r="H182" i="1"/>
  <c r="I182" i="1"/>
  <c r="J182" i="1"/>
  <c r="H342" i="1"/>
  <c r="I342" i="1"/>
  <c r="J342" i="1"/>
  <c r="H348" i="1"/>
  <c r="I348" i="1"/>
  <c r="J348" i="1"/>
  <c r="J274" i="1"/>
  <c r="H274" i="1"/>
  <c r="I274" i="1"/>
  <c r="H134" i="1"/>
  <c r="I134" i="1"/>
  <c r="J134" i="1"/>
  <c r="H124" i="1"/>
  <c r="I124" i="1"/>
  <c r="J124" i="1"/>
  <c r="H363" i="1"/>
  <c r="I363" i="1"/>
  <c r="J363" i="1"/>
  <c r="H233" i="1"/>
  <c r="I233" i="1"/>
  <c r="J233" i="1"/>
  <c r="H30" i="1"/>
  <c r="I30" i="1"/>
  <c r="J30" i="1"/>
  <c r="H56" i="1"/>
  <c r="I56" i="1"/>
  <c r="J56" i="1"/>
  <c r="H311" i="1"/>
  <c r="J311" i="1"/>
  <c r="I311" i="1"/>
  <c r="H227" i="1"/>
  <c r="I227" i="1"/>
  <c r="J227" i="1"/>
  <c r="H109" i="1"/>
  <c r="I109" i="1"/>
  <c r="J109" i="1"/>
  <c r="H105" i="1"/>
  <c r="I105" i="1"/>
  <c r="J105" i="1"/>
  <c r="H190" i="1"/>
  <c r="I190" i="1"/>
  <c r="J190" i="1"/>
  <c r="H33" i="1"/>
  <c r="I33" i="1"/>
  <c r="J33" i="1"/>
  <c r="H136" i="1"/>
  <c r="I136" i="1"/>
  <c r="J136" i="1"/>
  <c r="H361" i="1"/>
  <c r="I361" i="1"/>
  <c r="J361" i="1"/>
  <c r="I77" i="1"/>
  <c r="J77" i="1"/>
  <c r="H77" i="1"/>
  <c r="H129" i="1"/>
  <c r="I129" i="1"/>
  <c r="J129" i="1"/>
  <c r="J224" i="1"/>
  <c r="H224" i="1"/>
  <c r="I224" i="1"/>
  <c r="H209" i="1"/>
  <c r="I209" i="1"/>
  <c r="J209" i="1"/>
  <c r="H221" i="1"/>
  <c r="I221" i="1"/>
  <c r="J221" i="1"/>
  <c r="H174" i="1"/>
  <c r="I174" i="1"/>
  <c r="J174" i="1"/>
  <c r="H407" i="1"/>
  <c r="I407" i="1"/>
  <c r="J407" i="1"/>
  <c r="J260" i="1"/>
  <c r="H260" i="1"/>
  <c r="I260" i="1"/>
  <c r="H213" i="1"/>
  <c r="I213" i="1"/>
  <c r="J213" i="1"/>
  <c r="H264" i="1"/>
  <c r="I264" i="1"/>
  <c r="J264" i="1"/>
  <c r="J435" i="1"/>
  <c r="H435" i="1"/>
  <c r="I435" i="1"/>
  <c r="H78" i="1"/>
  <c r="I78" i="1"/>
  <c r="J78" i="1"/>
  <c r="H254" i="1"/>
  <c r="I254" i="1"/>
  <c r="J254" i="1"/>
  <c r="H98" i="1"/>
  <c r="I98" i="1"/>
  <c r="J98" i="1"/>
  <c r="J256" i="1"/>
  <c r="H256" i="1"/>
  <c r="I256" i="1"/>
  <c r="H259" i="1"/>
  <c r="I259" i="1"/>
  <c r="J259" i="1"/>
  <c r="I261" i="1"/>
  <c r="H261" i="1"/>
  <c r="J261" i="1"/>
  <c r="H273" i="1"/>
  <c r="I273" i="1"/>
  <c r="J273" i="1"/>
  <c r="H66" i="1"/>
  <c r="I66" i="1"/>
  <c r="J66" i="1"/>
  <c r="H186" i="1"/>
  <c r="J186" i="1"/>
  <c r="I186" i="1"/>
  <c r="H35" i="1"/>
  <c r="I35" i="1"/>
  <c r="J35" i="1"/>
  <c r="H277" i="1"/>
  <c r="I277" i="1"/>
  <c r="J277" i="1"/>
  <c r="H297" i="1"/>
  <c r="I297" i="1"/>
  <c r="J297" i="1"/>
  <c r="H282" i="1"/>
  <c r="J282" i="1"/>
  <c r="I282" i="1"/>
  <c r="H64" i="1"/>
  <c r="I64" i="1"/>
  <c r="J64" i="1"/>
  <c r="H262" i="1"/>
  <c r="I262" i="1"/>
  <c r="J262" i="1"/>
  <c r="H199" i="1"/>
  <c r="I199" i="1"/>
  <c r="J199" i="1"/>
  <c r="I101" i="1"/>
  <c r="H101" i="1"/>
  <c r="J101" i="1"/>
  <c r="H313" i="1"/>
  <c r="I313" i="1"/>
  <c r="J313" i="1"/>
  <c r="H108" i="1"/>
  <c r="I108" i="1"/>
  <c r="J108" i="1"/>
  <c r="J46" i="1"/>
  <c r="H46" i="1"/>
  <c r="I46" i="1"/>
  <c r="H219" i="1"/>
  <c r="I219" i="1"/>
  <c r="J219" i="1"/>
  <c r="I333" i="1"/>
  <c r="J333" i="1"/>
  <c r="H333" i="1"/>
  <c r="H252" i="1"/>
  <c r="J252" i="1"/>
  <c r="I252" i="1"/>
  <c r="H114" i="1"/>
  <c r="I114" i="1"/>
  <c r="J114" i="1"/>
  <c r="H237" i="1"/>
  <c r="I237" i="1"/>
  <c r="J237" i="1"/>
  <c r="I408" i="1"/>
  <c r="J408" i="1"/>
  <c r="H408" i="1"/>
  <c r="H230" i="1"/>
  <c r="I230" i="1"/>
  <c r="J230" i="1"/>
  <c r="I325" i="1"/>
  <c r="H325" i="1"/>
  <c r="J325" i="1"/>
  <c r="H154" i="1"/>
  <c r="I154" i="1"/>
  <c r="J154" i="1"/>
  <c r="H122" i="1"/>
  <c r="J122" i="1"/>
  <c r="I122" i="1"/>
  <c r="J112" i="1"/>
  <c r="H112" i="1"/>
  <c r="I112" i="1"/>
  <c r="H346" i="1"/>
  <c r="I346" i="1"/>
  <c r="J346" i="1"/>
  <c r="H291" i="1"/>
  <c r="I291" i="1"/>
  <c r="J291" i="1"/>
  <c r="H146" i="1"/>
  <c r="I146" i="1"/>
  <c r="J146" i="1"/>
  <c r="J132" i="1"/>
  <c r="H132" i="1"/>
  <c r="I132" i="1"/>
  <c r="J68" i="1"/>
  <c r="H68" i="1"/>
  <c r="I68" i="1"/>
  <c r="I40" i="1"/>
  <c r="J40" i="1"/>
  <c r="H40" i="1"/>
  <c r="I383" i="1"/>
  <c r="J383" i="1"/>
  <c r="H383" i="1"/>
  <c r="I367" i="1"/>
  <c r="J367" i="1"/>
  <c r="H367" i="1"/>
  <c r="H83" i="1"/>
  <c r="I83" i="1"/>
  <c r="J83" i="1"/>
  <c r="H130" i="1"/>
  <c r="I130" i="1"/>
  <c r="J130" i="1"/>
  <c r="H87" i="1"/>
  <c r="I87" i="1"/>
  <c r="J87" i="1"/>
  <c r="I59" i="1"/>
  <c r="H59" i="1"/>
  <c r="J59" i="1"/>
  <c r="H61" i="1"/>
  <c r="I61" i="1"/>
  <c r="J61" i="1"/>
  <c r="H162" i="1"/>
  <c r="I162" i="1"/>
  <c r="J162" i="1"/>
  <c r="I79" i="1"/>
  <c r="J79" i="1"/>
  <c r="H79" i="1"/>
  <c r="H169" i="1"/>
  <c r="I169" i="1"/>
  <c r="J169" i="1"/>
  <c r="H215" i="1"/>
  <c r="I215" i="1"/>
  <c r="J215" i="1"/>
  <c r="H92" i="1"/>
  <c r="I92" i="1"/>
  <c r="J92" i="1"/>
  <c r="H163" i="1"/>
  <c r="I163" i="1"/>
  <c r="J163" i="1"/>
  <c r="H103" i="1"/>
  <c r="I103" i="1"/>
  <c r="J103" i="1"/>
  <c r="H96" i="1"/>
  <c r="I96" i="1"/>
  <c r="J96" i="1"/>
  <c r="H188" i="1"/>
  <c r="I188" i="1"/>
  <c r="J188" i="1"/>
  <c r="I350" i="1"/>
  <c r="J350" i="1"/>
  <c r="H350" i="1"/>
  <c r="H352" i="1"/>
  <c r="I352" i="1"/>
  <c r="J352" i="1"/>
  <c r="H336" i="1"/>
  <c r="J336" i="1"/>
  <c r="I336" i="1"/>
  <c r="B28" i="2"/>
  <c r="F128" i="2"/>
  <c r="F139" i="2"/>
  <c r="B107" i="2"/>
  <c r="H168" i="2"/>
  <c r="I168" i="2" s="1"/>
  <c r="B119" i="2"/>
  <c r="C107" i="2"/>
  <c r="H160" i="2"/>
  <c r="I160" i="2" s="1"/>
  <c r="B159" i="2"/>
  <c r="B61" i="4" s="1"/>
  <c r="B27" i="2"/>
  <c r="G128" i="2"/>
  <c r="G130" i="2"/>
  <c r="C119" i="2"/>
  <c r="B29" i="2"/>
  <c r="F130" i="2"/>
  <c r="H164" i="2"/>
  <c r="I164" i="2" s="1"/>
  <c r="H167" i="2"/>
  <c r="I167" i="2" s="1"/>
  <c r="H169" i="2"/>
  <c r="I169" i="2" s="1"/>
  <c r="H166" i="2"/>
  <c r="I166" i="2" s="1"/>
  <c r="H161" i="2"/>
  <c r="I161" i="2" s="1"/>
  <c r="H153" i="2"/>
  <c r="I153" i="2" s="1"/>
  <c r="H159" i="2"/>
  <c r="I159" i="2" s="1"/>
  <c r="G139" i="2"/>
  <c r="H170" i="2"/>
  <c r="I170" i="2" s="1"/>
  <c r="H152" i="2"/>
  <c r="I152" i="2" s="1"/>
  <c r="R3" i="2"/>
  <c r="K1" i="4"/>
  <c r="R11" i="2"/>
  <c r="K8" i="4"/>
  <c r="R4" i="2"/>
  <c r="K2" i="4"/>
  <c r="R5" i="2"/>
  <c r="K3" i="4"/>
  <c r="R8" i="2"/>
  <c r="K5" i="4"/>
  <c r="R7" i="2"/>
  <c r="K4" i="4"/>
  <c r="R9" i="2"/>
  <c r="K6" i="4"/>
  <c r="V3" i="2"/>
  <c r="AD123" i="1" l="1"/>
  <c r="J5" i="2" s="1"/>
  <c r="C21" i="2"/>
  <c r="H130" i="2"/>
  <c r="I130" i="2" s="1"/>
  <c r="H128" i="2"/>
  <c r="I128" i="2" s="1"/>
  <c r="H139" i="2"/>
  <c r="I139" i="2" s="1"/>
  <c r="B79" i="2"/>
  <c r="C22" i="2"/>
  <c r="B1" i="3" s="1"/>
  <c r="G99" i="2"/>
  <c r="B41" i="2"/>
  <c r="B121" i="2"/>
  <c r="F113" i="2"/>
  <c r="B83" i="2"/>
  <c r="B117" i="2"/>
  <c r="F112" i="2"/>
  <c r="F39" i="2"/>
  <c r="F151" i="2"/>
  <c r="B56" i="2"/>
  <c r="B137" i="2"/>
  <c r="B143" i="2"/>
  <c r="F145" i="2"/>
  <c r="D26" i="2"/>
  <c r="B54" i="2"/>
  <c r="F137" i="2"/>
  <c r="B36" i="2"/>
  <c r="B140" i="2"/>
  <c r="F101" i="2"/>
  <c r="B100" i="2"/>
  <c r="B2" i="4" s="1"/>
  <c r="B43" i="2"/>
  <c r="C140" i="2"/>
  <c r="G137" i="2"/>
  <c r="C149" i="2"/>
  <c r="G133" i="2"/>
  <c r="B69" i="2"/>
  <c r="F147" i="2"/>
  <c r="B154" i="2"/>
  <c r="D41" i="2"/>
  <c r="G163" i="2"/>
  <c r="C118" i="2"/>
  <c r="F162" i="2"/>
  <c r="B147" i="2"/>
  <c r="B81" i="2"/>
  <c r="F37" i="2"/>
  <c r="D40" i="2"/>
  <c r="B148" i="2"/>
  <c r="B68" i="2"/>
  <c r="F156" i="2"/>
  <c r="F129" i="2"/>
  <c r="B132" i="2"/>
  <c r="F29" i="2"/>
  <c r="B73" i="2"/>
  <c r="B42" i="2"/>
  <c r="B125" i="2"/>
  <c r="F125" i="2"/>
  <c r="D28" i="2"/>
  <c r="F140" i="2"/>
  <c r="B133" i="2"/>
  <c r="B74" i="2"/>
  <c r="F30" i="2"/>
  <c r="G100" i="2"/>
  <c r="C99" i="2"/>
  <c r="C1" i="4" s="1"/>
  <c r="G136" i="2"/>
  <c r="C141" i="2"/>
  <c r="G121" i="2"/>
  <c r="C123" i="2"/>
  <c r="B156" i="2"/>
  <c r="B58" i="2"/>
  <c r="F150" i="2"/>
  <c r="D30" i="2"/>
  <c r="B126" i="2"/>
  <c r="F35" i="2"/>
  <c r="F99" i="2"/>
  <c r="G154" i="2"/>
  <c r="C130" i="2"/>
  <c r="F134" i="2"/>
  <c r="B33" i="2"/>
  <c r="B150" i="2"/>
  <c r="F27" i="2"/>
  <c r="B71" i="2"/>
  <c r="F122" i="2"/>
  <c r="B134" i="2"/>
  <c r="C138" i="2"/>
  <c r="G132" i="2"/>
  <c r="F136" i="2"/>
  <c r="B141" i="2"/>
  <c r="B35" i="2"/>
  <c r="F123" i="2"/>
  <c r="B52" i="2"/>
  <c r="B135" i="2"/>
  <c r="G115" i="2"/>
  <c r="C113" i="2"/>
  <c r="G135" i="2"/>
  <c r="C151" i="2"/>
  <c r="C156" i="2"/>
  <c r="G150" i="2"/>
  <c r="F146" i="2"/>
  <c r="B153" i="2"/>
  <c r="B59" i="2"/>
  <c r="D31" i="2"/>
  <c r="G108" i="2"/>
  <c r="C108" i="2"/>
  <c r="G122" i="2"/>
  <c r="C134" i="2"/>
  <c r="F48" i="2"/>
  <c r="F165" i="2"/>
  <c r="B157" i="2"/>
  <c r="B59" i="4" s="1"/>
  <c r="B92" i="2"/>
  <c r="G155" i="2"/>
  <c r="F127" i="2"/>
  <c r="B139" i="2"/>
  <c r="B32" i="2"/>
  <c r="C120" i="2"/>
  <c r="G131" i="2"/>
  <c r="F138" i="2"/>
  <c r="B90" i="2"/>
  <c r="F46" i="2"/>
  <c r="B131" i="2"/>
  <c r="F114" i="2"/>
  <c r="B122" i="2"/>
  <c r="B21" i="4" s="1"/>
  <c r="B37" i="2"/>
  <c r="G116" i="2"/>
  <c r="C128" i="2"/>
  <c r="F149" i="2"/>
  <c r="B152" i="2"/>
  <c r="B60" i="4" s="1"/>
  <c r="B46" i="2"/>
  <c r="G104" i="2"/>
  <c r="C102" i="2"/>
  <c r="C137" i="2"/>
  <c r="G151" i="2"/>
  <c r="C122" i="2"/>
  <c r="C21" i="4" s="1"/>
  <c r="G114" i="2"/>
  <c r="B149" i="2"/>
  <c r="B31" i="2"/>
  <c r="F133" i="2"/>
  <c r="C152" i="2"/>
  <c r="C60" i="4" s="1"/>
  <c r="G149" i="2"/>
  <c r="G112" i="2"/>
  <c r="C117" i="2"/>
  <c r="C129" i="2"/>
  <c r="G117" i="2"/>
  <c r="C121" i="2"/>
  <c r="G113" i="2"/>
  <c r="B129" i="2"/>
  <c r="F117" i="2"/>
  <c r="B65" i="2"/>
  <c r="D37" i="2"/>
  <c r="C143" i="2"/>
  <c r="G145" i="2"/>
  <c r="G101" i="2"/>
  <c r="C100" i="2"/>
  <c r="C2" i="4" s="1"/>
  <c r="C110" i="2"/>
  <c r="G107" i="2"/>
  <c r="C112" i="2"/>
  <c r="G147" i="2"/>
  <c r="C154" i="2"/>
  <c r="B47" i="2"/>
  <c r="F102" i="2"/>
  <c r="B103" i="2"/>
  <c r="B44" i="2"/>
  <c r="B124" i="2"/>
  <c r="F120" i="2"/>
  <c r="C155" i="2"/>
  <c r="G158" i="2"/>
  <c r="G125" i="2"/>
  <c r="C125" i="2"/>
  <c r="C147" i="2"/>
  <c r="G162" i="2"/>
  <c r="F119" i="2"/>
  <c r="F34" i="2"/>
  <c r="B101" i="2"/>
  <c r="B78" i="2"/>
  <c r="F45" i="2"/>
  <c r="F107" i="2"/>
  <c r="B110" i="2"/>
  <c r="B89" i="2"/>
  <c r="B112" i="2"/>
  <c r="F155" i="2"/>
  <c r="D38" i="2"/>
  <c r="B66" i="2"/>
  <c r="D34" i="2"/>
  <c r="F106" i="2"/>
  <c r="B62" i="2"/>
  <c r="B115" i="2"/>
  <c r="F111" i="2"/>
  <c r="F38" i="2"/>
  <c r="B116" i="2"/>
  <c r="B82" i="2"/>
  <c r="G129" i="2"/>
  <c r="C132" i="2"/>
  <c r="C103" i="2"/>
  <c r="G102" i="2"/>
  <c r="G120" i="2"/>
  <c r="C124" i="2"/>
  <c r="C26" i="4" s="1"/>
  <c r="F158" i="2"/>
  <c r="F28" i="2"/>
  <c r="B72" i="2"/>
  <c r="B155" i="2"/>
  <c r="F100" i="2"/>
  <c r="B99" i="2"/>
  <c r="B1" i="4" s="1"/>
  <c r="D29" i="2"/>
  <c r="B57" i="2"/>
  <c r="G144" i="2"/>
  <c r="C146" i="2"/>
  <c r="C106" i="2"/>
  <c r="G103" i="2"/>
  <c r="B118" i="2"/>
  <c r="F163" i="2"/>
  <c r="F40" i="2"/>
  <c r="B84" i="2"/>
  <c r="G143" i="2"/>
  <c r="C145" i="2"/>
  <c r="C101" i="2"/>
  <c r="G119" i="2"/>
  <c r="F121" i="2"/>
  <c r="B53" i="2"/>
  <c r="B123" i="2"/>
  <c r="B40" i="2"/>
  <c r="B114" i="2"/>
  <c r="F109" i="2"/>
  <c r="G106" i="2"/>
  <c r="C115" i="2"/>
  <c r="G148" i="2"/>
  <c r="C142" i="2"/>
  <c r="C116" i="2"/>
  <c r="G111" i="2"/>
  <c r="D36" i="2"/>
  <c r="F154" i="2"/>
  <c r="B130" i="2"/>
  <c r="B64" i="2"/>
  <c r="B109" i="2"/>
  <c r="F44" i="2"/>
  <c r="B88" i="2"/>
  <c r="F110" i="2"/>
  <c r="F143" i="2"/>
  <c r="B60" i="2"/>
  <c r="B145" i="2"/>
  <c r="D32" i="2"/>
  <c r="G109" i="2"/>
  <c r="C114" i="2"/>
  <c r="B45" i="2"/>
  <c r="F148" i="2"/>
  <c r="B142" i="2"/>
  <c r="C148" i="2"/>
  <c r="G156" i="2"/>
  <c r="D33" i="2"/>
  <c r="F144" i="2"/>
  <c r="B146" i="2"/>
  <c r="B61" i="2"/>
  <c r="C109" i="2"/>
  <c r="G110" i="2"/>
  <c r="F103" i="2"/>
  <c r="B39" i="2"/>
  <c r="B106" i="2"/>
  <c r="B38" i="2"/>
  <c r="F132" i="2"/>
  <c r="B138" i="2"/>
  <c r="C133" i="2"/>
  <c r="G140" i="2"/>
  <c r="C139" i="2"/>
  <c r="G127" i="2"/>
  <c r="C135" i="2"/>
  <c r="G123" i="2"/>
  <c r="F135" i="2"/>
  <c r="B34" i="2"/>
  <c r="B151" i="2"/>
  <c r="G146" i="2"/>
  <c r="C153" i="2"/>
  <c r="B85" i="2"/>
  <c r="F41" i="2"/>
  <c r="B144" i="2"/>
  <c r="F141" i="2"/>
  <c r="G134" i="2"/>
  <c r="C150" i="2"/>
  <c r="B87" i="2"/>
  <c r="F43" i="2"/>
  <c r="F105" i="2"/>
  <c r="B104" i="2"/>
  <c r="F131" i="2"/>
  <c r="B30" i="2"/>
  <c r="B120" i="2"/>
  <c r="B113" i="2"/>
  <c r="F115" i="2"/>
  <c r="B49" i="2"/>
  <c r="C105" i="2"/>
  <c r="G126" i="2"/>
  <c r="G141" i="2"/>
  <c r="C144" i="2"/>
  <c r="B108" i="2"/>
  <c r="B48" i="2"/>
  <c r="F108" i="2"/>
  <c r="G105" i="2"/>
  <c r="C104" i="2"/>
  <c r="F31" i="2"/>
  <c r="F124" i="2"/>
  <c r="B75" i="2"/>
  <c r="B136" i="2"/>
  <c r="C126" i="2"/>
  <c r="D27" i="2"/>
  <c r="B55" i="2"/>
  <c r="B111" i="2"/>
  <c r="F118" i="2"/>
  <c r="C157" i="2"/>
  <c r="G165" i="2"/>
  <c r="B63" i="2"/>
  <c r="F116" i="2"/>
  <c r="B128" i="2"/>
  <c r="D35" i="2"/>
  <c r="G142" i="2"/>
  <c r="C127" i="2"/>
  <c r="B102" i="2"/>
  <c r="F104" i="2"/>
  <c r="B67" i="2"/>
  <c r="D39" i="2"/>
  <c r="F126" i="2"/>
  <c r="F42" i="2"/>
  <c r="B86" i="2"/>
  <c r="B105" i="2"/>
  <c r="G124" i="2"/>
  <c r="C136" i="2"/>
  <c r="F142" i="2"/>
  <c r="B50" i="2"/>
  <c r="B127" i="2"/>
  <c r="G118" i="2"/>
  <c r="C111" i="2"/>
  <c r="C131" i="2"/>
  <c r="G138" i="2"/>
  <c r="B67" i="4"/>
  <c r="C67" i="4"/>
  <c r="R18" i="2"/>
  <c r="J3" i="2" s="1"/>
  <c r="E1" i="3" s="1"/>
  <c r="B33" i="4" l="1"/>
  <c r="B37" i="4"/>
  <c r="H155" i="2"/>
  <c r="I155" i="2" s="1"/>
  <c r="C32" i="4"/>
  <c r="H146" i="2"/>
  <c r="I146" i="2" s="1"/>
  <c r="B57" i="4"/>
  <c r="H117" i="2"/>
  <c r="I117" i="2" s="1"/>
  <c r="H129" i="2"/>
  <c r="I129" i="2" s="1"/>
  <c r="C55" i="4"/>
  <c r="B3" i="4"/>
  <c r="B31" i="4"/>
  <c r="C37" i="4"/>
  <c r="B4" i="4"/>
  <c r="C31" i="4"/>
  <c r="C4" i="4"/>
  <c r="H136" i="2"/>
  <c r="I136" i="2" s="1"/>
  <c r="C56" i="4"/>
  <c r="H147" i="2"/>
  <c r="I147" i="2" s="1"/>
  <c r="B56" i="4"/>
  <c r="C57" i="4"/>
  <c r="C59" i="4"/>
  <c r="B34" i="4"/>
  <c r="C3" i="4"/>
  <c r="B32" i="4"/>
  <c r="B55" i="4"/>
  <c r="C33" i="4"/>
  <c r="B6" i="4"/>
  <c r="C6" i="4"/>
  <c r="C34" i="4"/>
  <c r="H150" i="2"/>
  <c r="I150" i="2" s="1"/>
  <c r="H115" i="2"/>
  <c r="I115" i="2" s="1"/>
  <c r="G1" i="3"/>
  <c r="H106" i="2"/>
  <c r="I106" i="2" s="1"/>
  <c r="H148" i="2"/>
  <c r="I148" i="2" s="1"/>
  <c r="H120" i="2"/>
  <c r="I120" i="2" s="1"/>
  <c r="H105" i="2"/>
  <c r="I105" i="2" s="1"/>
  <c r="H141" i="2"/>
  <c r="I141" i="2" s="1"/>
  <c r="H145" i="2"/>
  <c r="I145" i="2" s="1"/>
  <c r="H144" i="2"/>
  <c r="I144" i="2" s="1"/>
  <c r="H121" i="2"/>
  <c r="I121" i="2" s="1"/>
  <c r="H100" i="2"/>
  <c r="I100" i="2" s="1"/>
  <c r="H133" i="2"/>
  <c r="I133" i="2" s="1"/>
  <c r="H114" i="2"/>
  <c r="I114" i="2" s="1"/>
  <c r="H125" i="2"/>
  <c r="I125" i="2" s="1"/>
  <c r="H165" i="2"/>
  <c r="I165" i="2" s="1"/>
  <c r="H111" i="2"/>
  <c r="I111" i="2" s="1"/>
  <c r="H119" i="2"/>
  <c r="I119" i="2" s="1"/>
  <c r="H140" i="2"/>
  <c r="I140" i="2" s="1"/>
  <c r="H162" i="2"/>
  <c r="I162" i="2" s="1"/>
  <c r="H137" i="2"/>
  <c r="I137" i="2" s="1"/>
  <c r="H110" i="2"/>
  <c r="I110" i="2" s="1"/>
  <c r="H104" i="2"/>
  <c r="I104" i="2" s="1"/>
  <c r="H124" i="2"/>
  <c r="I124" i="2" s="1"/>
  <c r="H131" i="2"/>
  <c r="I131" i="2" s="1"/>
  <c r="H135" i="2"/>
  <c r="I135" i="2" s="1"/>
  <c r="H123" i="2"/>
  <c r="I123" i="2" s="1"/>
  <c r="H112" i="2"/>
  <c r="I112" i="2" s="1"/>
  <c r="H116" i="2"/>
  <c r="I116" i="2" s="1"/>
  <c r="H158" i="2"/>
  <c r="I158" i="2" s="1"/>
  <c r="H138" i="2"/>
  <c r="I138" i="2" s="1"/>
  <c r="H142" i="2"/>
  <c r="I142" i="2" s="1"/>
  <c r="H151" i="2"/>
  <c r="I151" i="2" s="1"/>
  <c r="H122" i="2"/>
  <c r="I122" i="2" s="1"/>
  <c r="H132" i="2"/>
  <c r="I132" i="2" s="1"/>
  <c r="H163" i="2"/>
  <c r="I163" i="2" s="1"/>
  <c r="H156" i="2"/>
  <c r="I156" i="2" s="1"/>
  <c r="H107" i="2"/>
  <c r="I107" i="2" s="1"/>
  <c r="H127" i="2"/>
  <c r="I127" i="2" s="1"/>
  <c r="H126" i="2"/>
  <c r="I126" i="2" s="1"/>
  <c r="H103" i="2"/>
  <c r="I103" i="2" s="1"/>
  <c r="H109" i="2"/>
  <c r="I109" i="2" s="1"/>
  <c r="H149" i="2"/>
  <c r="I149" i="2" s="1"/>
  <c r="H134" i="2"/>
  <c r="I134" i="2" s="1"/>
  <c r="H101" i="2"/>
  <c r="I101" i="2" s="1"/>
  <c r="H108" i="2"/>
  <c r="I108" i="2" s="1"/>
  <c r="H154" i="2"/>
  <c r="I154" i="2" s="1"/>
  <c r="H118" i="2"/>
  <c r="I118" i="2" s="1"/>
  <c r="H102" i="2"/>
  <c r="I102" i="2" s="1"/>
  <c r="H113" i="2"/>
  <c r="I113" i="2" s="1"/>
  <c r="H143" i="2"/>
  <c r="I143" i="2" s="1"/>
  <c r="B19" i="4"/>
  <c r="C24" i="4"/>
  <c r="C39" i="4"/>
  <c r="B51" i="4"/>
  <c r="B58" i="4"/>
  <c r="B38" i="4"/>
  <c r="B22" i="4"/>
  <c r="B52" i="4"/>
  <c r="C40" i="4"/>
  <c r="B39" i="4"/>
  <c r="C54" i="4"/>
  <c r="B12" i="4"/>
  <c r="C25" i="4"/>
  <c r="C51" i="4"/>
  <c r="C42" i="4"/>
  <c r="C49" i="4"/>
  <c r="C18" i="4"/>
  <c r="C7" i="4"/>
  <c r="B25" i="4"/>
  <c r="C10" i="4"/>
  <c r="B7" i="4"/>
  <c r="C20" i="4"/>
  <c r="C47" i="4"/>
  <c r="C28" i="4"/>
  <c r="B8" i="4"/>
  <c r="B28" i="4"/>
  <c r="B45" i="4"/>
  <c r="B13" i="4"/>
  <c r="B29" i="4"/>
  <c r="C13" i="4"/>
  <c r="C22" i="4"/>
  <c r="B18" i="4"/>
  <c r="C50" i="4"/>
  <c r="C41" i="4"/>
  <c r="B35" i="4"/>
  <c r="C35" i="4"/>
  <c r="C53" i="4"/>
  <c r="B11" i="4"/>
  <c r="B49" i="4"/>
  <c r="B50" i="4"/>
  <c r="B20" i="4"/>
  <c r="C16" i="4"/>
  <c r="B46" i="4"/>
  <c r="C44" i="4"/>
  <c r="B10" i="4"/>
  <c r="C58" i="4"/>
  <c r="B44" i="4"/>
  <c r="C14" i="4"/>
  <c r="C48" i="4"/>
  <c r="B54" i="4"/>
  <c r="B40" i="4"/>
  <c r="C36" i="4"/>
  <c r="C12" i="4"/>
  <c r="B26" i="4"/>
  <c r="C29" i="4"/>
  <c r="C38" i="4"/>
  <c r="B43" i="4"/>
  <c r="C52" i="4"/>
  <c r="B53" i="4"/>
  <c r="C11" i="4"/>
  <c r="C9" i="4"/>
  <c r="C30" i="4"/>
  <c r="C17" i="4"/>
  <c r="B36" i="4"/>
  <c r="B16" i="4"/>
  <c r="B14" i="4"/>
  <c r="C19" i="4"/>
  <c r="C45" i="4"/>
  <c r="B24" i="4"/>
  <c r="C46" i="4"/>
  <c r="B42" i="4"/>
  <c r="C23" i="4"/>
  <c r="B23" i="4"/>
  <c r="B30" i="4"/>
  <c r="C15" i="4"/>
  <c r="B48" i="4"/>
  <c r="C8" i="4"/>
  <c r="C5" i="4"/>
  <c r="C43" i="4"/>
  <c r="B5" i="4"/>
  <c r="B41" i="4"/>
  <c r="B17" i="4"/>
  <c r="B9" i="4"/>
  <c r="B47" i="4"/>
  <c r="B27" i="4"/>
  <c r="C27" i="4"/>
  <c r="B15" i="4"/>
  <c r="D25" i="2"/>
  <c r="E2" i="4" s="1"/>
  <c r="B2" i="5" s="1"/>
  <c r="F25" i="2"/>
  <c r="E1" i="4" s="1"/>
  <c r="B1" i="5" s="1"/>
  <c r="G21" i="2"/>
  <c r="E20" i="2" s="1"/>
  <c r="A1" i="3"/>
  <c r="B25" i="2"/>
  <c r="E3" i="4" s="1"/>
  <c r="B3" i="5" s="1"/>
  <c r="F2" i="4" l="1"/>
  <c r="C2" i="5" s="1"/>
  <c r="F3" i="4"/>
  <c r="C3" i="5" s="1"/>
  <c r="R28" i="2"/>
  <c r="S28" i="2" s="1"/>
  <c r="F1" i="4"/>
  <c r="C1" i="5" s="1"/>
  <c r="R29" i="2"/>
  <c r="S29" i="2" s="1"/>
  <c r="R30" i="2"/>
  <c r="S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tc={8E5F7F15-346C-49D5-99C0-81E4379D7D9A}</author>
  </authors>
  <commentList>
    <comment ref="D110" authorId="0" shapeId="0" xr:uid="{8E5F7F15-346C-49D5-99C0-81E4379D7D9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B120/121 is not used for the purpose of DP 2 so it not required. Please check with Siva which of his vessels are not used as DP2 in Thailand exclude those as well for lighting deterrence 
Reply:
    Also removed failed as drop down menu 
Reply:
    Ah yes you are right, i forgot his email. Thanks
Reply:
    Ares / Athenna DP2 in Thailand  i Think
Reply:
    Okay for the 2 C class and 4 A class on Thailand i remove for lightning 
deterence  
Reply:
    ok 
Reply:
    This sheet then can be send to Alessandro , Siva and Vinayak for them to take action.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<sst xmlns="http://schemas.openxmlformats.org/spreadsheetml/2006/main" count="1761" uniqueCount="322">
  <si>
    <r>
      <t>This is the Vessel</t>
    </r>
    <r>
      <rPr>
        <b/>
        <sz val="12"/>
        <color theme="1"/>
        <rFont val="Calibri"/>
        <family val="2"/>
        <scheme val="minor"/>
      </rPr>
      <t xml:space="preserve"> Installation Tracker Sheet</t>
    </r>
    <r>
      <rPr>
        <sz val="12"/>
        <color theme="1"/>
        <rFont val="Calibri"/>
        <family val="2"/>
        <scheme val="minor"/>
      </rPr>
      <t xml:space="preserve">. </t>
    </r>
  </si>
  <si>
    <t>If any issues concerning the Excel Sheet
Please refer to Axel FAURAX</t>
  </si>
  <si>
    <t>To remind :</t>
  </si>
  <si>
    <t>MGPS :   All existing vessels
IWTM Filter :   Whole fleet + new assets
Lightning  System CMCE :   All DP 2 vessels which are used as DP2 if vessel is not used as DP2 then it is not required
MGPS + Chlorinator :   New assets</t>
  </si>
  <si>
    <t>N</t>
  </si>
  <si>
    <t>Vessel Name/ ID</t>
  </si>
  <si>
    <t>Spec</t>
  </si>
  <si>
    <t>Installation Status</t>
  </si>
  <si>
    <t>Date of Installation</t>
  </si>
  <si>
    <t>Chief Engineer Name</t>
  </si>
  <si>
    <t>Comments/Remarks</t>
  </si>
  <si>
    <t>Britoil 21</t>
  </si>
  <si>
    <t>AHT E</t>
  </si>
  <si>
    <t>MGPS</t>
  </si>
  <si>
    <t>IWTM Filter</t>
  </si>
  <si>
    <t>Britoil 22</t>
  </si>
  <si>
    <t>Britoil 41</t>
  </si>
  <si>
    <t>Done</t>
  </si>
  <si>
    <t>Britoil 60</t>
  </si>
  <si>
    <t>Britoil 61</t>
  </si>
  <si>
    <t>Britoil 62</t>
  </si>
  <si>
    <t>Not Installed</t>
  </si>
  <si>
    <t>Britoil 63</t>
  </si>
  <si>
    <t>Britoil 64</t>
  </si>
  <si>
    <t>Britoil 65</t>
  </si>
  <si>
    <t>Britoil 66</t>
  </si>
  <si>
    <t>Britoil 67</t>
  </si>
  <si>
    <t>Britoil 70</t>
  </si>
  <si>
    <t>Britoil 71</t>
  </si>
  <si>
    <t>Britoil 72</t>
  </si>
  <si>
    <t>Britoil 73</t>
  </si>
  <si>
    <t>Britoil 74</t>
  </si>
  <si>
    <t>No Need</t>
  </si>
  <si>
    <t>Britoil 80</t>
  </si>
  <si>
    <t>AHT E DP1</t>
  </si>
  <si>
    <t>Britoil 81</t>
  </si>
  <si>
    <t>Britoil 82</t>
  </si>
  <si>
    <t>Britoil 120</t>
  </si>
  <si>
    <t>AHT E DP2</t>
  </si>
  <si>
    <t>Britoil 121</t>
  </si>
  <si>
    <t>Britoil Destiny</t>
  </si>
  <si>
    <t>AHTS D DP2</t>
  </si>
  <si>
    <t>Britoil Discovery</t>
  </si>
  <si>
    <t>Britoil Dragon</t>
  </si>
  <si>
    <t>Britoil Guardian</t>
  </si>
  <si>
    <t>AHTS G DP2</t>
  </si>
  <si>
    <t>BOS Ares</t>
  </si>
  <si>
    <t>BOS Athena</t>
  </si>
  <si>
    <t>BOS Atlanta</t>
  </si>
  <si>
    <r>
      <rPr>
        <sz val="11"/>
        <color rgb="FF000000"/>
        <rFont val="Calibri"/>
        <family val="2"/>
        <scheme val="minor"/>
      </rPr>
      <t xml:space="preserve">AHTS A </t>
    </r>
    <r>
      <rPr>
        <strike/>
        <sz val="11"/>
        <color rgb="FF000000"/>
        <rFont val="Calibri"/>
        <family val="2"/>
        <scheme val="minor"/>
      </rPr>
      <t>DP2</t>
    </r>
  </si>
  <si>
    <t>BOS Atlas</t>
  </si>
  <si>
    <t>BOS Challenge</t>
  </si>
  <si>
    <r>
      <rPr>
        <sz val="11"/>
        <color rgb="FF000000"/>
        <rFont val="Calibri"/>
        <family val="2"/>
        <scheme val="minor"/>
      </rPr>
      <t xml:space="preserve">AHTS C </t>
    </r>
    <r>
      <rPr>
        <strike/>
        <sz val="11"/>
        <color rgb="FF000000"/>
        <rFont val="Calibri"/>
        <family val="2"/>
        <scheme val="minor"/>
      </rPr>
      <t>DP2</t>
    </r>
  </si>
  <si>
    <t>BOS Champion</t>
  </si>
  <si>
    <t>BOS Aphrodite</t>
  </si>
  <si>
    <t>AHTS A DP2</t>
  </si>
  <si>
    <t>BOS Apollo</t>
  </si>
  <si>
    <t>BOS Athos</t>
  </si>
  <si>
    <t>BOS Chablis</t>
  </si>
  <si>
    <t>AHTS C DP2</t>
  </si>
  <si>
    <t>BOS Champagne</t>
  </si>
  <si>
    <t>BOS Hestia</t>
  </si>
  <si>
    <t>AHTS H DP2</t>
  </si>
  <si>
    <t>BOS Tethys</t>
  </si>
  <si>
    <t>AHTS T DP2</t>
  </si>
  <si>
    <t>BOS Thalassa</t>
  </si>
  <si>
    <t>BOS Theia</t>
  </si>
  <si>
    <t>BOS Triton</t>
  </si>
  <si>
    <t>Britoil Journey</t>
  </si>
  <si>
    <t>PSV J DP2</t>
  </si>
  <si>
    <t>Britoil Justice</t>
  </si>
  <si>
    <t>BOS Pride</t>
  </si>
  <si>
    <t>PSV P DP2</t>
  </si>
  <si>
    <t>BOS Princess</t>
  </si>
  <si>
    <t>BOS Pool</t>
  </si>
  <si>
    <t>BOS Base</t>
  </si>
  <si>
    <t>PSV B DP2</t>
  </si>
  <si>
    <t>BOS Patience</t>
  </si>
  <si>
    <t>BOS Patriot</t>
  </si>
  <si>
    <t>BOS Precious</t>
  </si>
  <si>
    <t>BOS Prelude</t>
  </si>
  <si>
    <t>BOS Prime</t>
  </si>
  <si>
    <t>BOS Prince</t>
  </si>
  <si>
    <t>BOS Principle</t>
  </si>
  <si>
    <t>BOS Prudence</t>
  </si>
  <si>
    <t>BOS Purpose</t>
  </si>
  <si>
    <t>Britoil Diamond</t>
  </si>
  <si>
    <t>MPSV DP2</t>
  </si>
  <si>
    <t>OSV A DP2</t>
  </si>
  <si>
    <t>Nautical Aisia</t>
  </si>
  <si>
    <t>Nautical Anisha</t>
  </si>
  <si>
    <t>Paragon Sentinel</t>
  </si>
  <si>
    <t>PSV DP2 D</t>
  </si>
  <si>
    <t>Chlorinator</t>
  </si>
  <si>
    <t>Mashhor Princess</t>
  </si>
  <si>
    <t>ENA Habitat</t>
  </si>
  <si>
    <t>BOS Tramontana</t>
  </si>
  <si>
    <t>Device</t>
  </si>
  <si>
    <t>Total Installed</t>
  </si>
  <si>
    <r>
      <t>AHTS A</t>
    </r>
    <r>
      <rPr>
        <strike/>
        <sz val="11"/>
        <color rgb="FF000000"/>
        <rFont val="Calibri"/>
        <family val="2"/>
        <scheme val="minor"/>
      </rPr>
      <t xml:space="preserve"> DP2</t>
    </r>
  </si>
  <si>
    <t>ecr.britoil60@ship.britoil.com.sg</t>
  </si>
  <si>
    <t>Cheng britoil 80(cheng)</t>
  </si>
  <si>
    <t>↓</t>
  </si>
  <si>
    <t>AI CCTV</t>
  </si>
  <si>
    <t>Devices</t>
  </si>
  <si>
    <t>In Process</t>
  </si>
  <si>
    <t>LED lights</t>
  </si>
  <si>
    <t>In process</t>
  </si>
  <si>
    <t>Percentage in move</t>
  </si>
  <si>
    <t>EFMS</t>
  </si>
  <si>
    <t>CMCE LP</t>
  </si>
  <si>
    <t>Needed</t>
  </si>
  <si>
    <t xml:space="preserve">Please select on "Installation Status" 
when clicking into the cell, one of the
 statement written. </t>
  </si>
  <si>
    <t>Co2 savings ton/year</t>
  </si>
  <si>
    <t>MGO</t>
  </si>
  <si>
    <t>2000 year</t>
  </si>
  <si>
    <t>ton MGO</t>
  </si>
  <si>
    <t>price mgo</t>
  </si>
  <si>
    <t>usd</t>
  </si>
  <si>
    <t xml:space="preserve">Total Savings </t>
  </si>
  <si>
    <t>BOS DUBAI</t>
  </si>
  <si>
    <t>BOS SG</t>
  </si>
  <si>
    <t>BOS ITALY</t>
  </si>
  <si>
    <t>help column</t>
  </si>
  <si>
    <t>Captains eye</t>
  </si>
  <si>
    <t>Ships in</t>
  </si>
  <si>
    <t>1% of the total fuel cost (at least)</t>
  </si>
  <si>
    <t>CO2eq  (tons)</t>
  </si>
  <si>
    <t>Nautilus Log</t>
  </si>
  <si>
    <t>I would like all vessels to do go and 
check the status.  Here we report all 
the installation of the new  initiatives 
we put onto the whole fleet</t>
  </si>
  <si>
    <t>EACH VESSEL :    WHAT TO DO ?</t>
  </si>
  <si>
    <t>Please scroll down to your 
vessel name. You will see all 
the devices we need to track</t>
  </si>
  <si>
    <t>If possible, Please fill the 
chief engineer name 
and the installation date</t>
  </si>
  <si>
    <t>a</t>
  </si>
  <si>
    <t>To see what system</t>
  </si>
  <si>
    <t>Khrone ? Its measuring but you take daily measure</t>
  </si>
  <si>
    <t>AHTS T DP1</t>
  </si>
  <si>
    <t>factor</t>
  </si>
  <si>
    <t>There is monitor and everything. Good EFMS Khrone</t>
  </si>
  <si>
    <t>CE. ESTEBAN L. MECUANDO (B82)</t>
  </si>
  <si>
    <t>ALEXEY LOZGUNOV</t>
  </si>
  <si>
    <t>Devices  (for 100tonnage)</t>
  </si>
  <si>
    <t>Defiance</t>
  </si>
  <si>
    <t>Fueltrax but doesn’t work+no subscription</t>
  </si>
  <si>
    <t>CE Edsel Quinio</t>
  </si>
  <si>
    <t>Since build</t>
  </si>
  <si>
    <t>YUSAK AGUS KRISTIYANTO</t>
  </si>
  <si>
    <t>LED for flood lights</t>
  </si>
  <si>
    <t>all</t>
  </si>
  <si>
    <t>Discovery</t>
  </si>
  <si>
    <t>FOR FACTOR 1</t>
  </si>
  <si>
    <t>Bioguard / Discovery</t>
  </si>
  <si>
    <t>good for CO2 / Discovery</t>
  </si>
  <si>
    <t>ICAF from 2006 . Bad</t>
  </si>
  <si>
    <t>2x VAF from 2006. Too old + no subscriptions</t>
  </si>
  <si>
    <t>planned but cancelled</t>
  </si>
  <si>
    <t>factor 1</t>
  </si>
  <si>
    <t>bride 1.3</t>
  </si>
  <si>
    <t>to review, cuz 18k on website</t>
  </si>
  <si>
    <t>TO CHANGE</t>
  </si>
  <si>
    <t>Khrone electronic fuel meter only (no data collection)</t>
  </si>
  <si>
    <t>All flood lights are LED</t>
  </si>
  <si>
    <t>New Initiatives</t>
  </si>
  <si>
    <t>AHTS A DP1</t>
  </si>
  <si>
    <t>C/E - Oleksandr Svynarenko
C/E - Oleg Myelyentyev
ECR.apollo@ship.britoil.com.sg</t>
  </si>
  <si>
    <t>Bunyamin Makkawaru M</t>
  </si>
  <si>
    <t>We don’t have EFMS onboard Britoil 67, We are used only FO Flow Meter with Data: NITTO SEIKO. Liters x 10.</t>
  </si>
  <si>
    <t>Cheng britoil 74(cheng)</t>
  </si>
  <si>
    <t>Veeder Root mechanical with printer</t>
  </si>
  <si>
    <t xml:space="preserve">CE Angelito Pedregosa
ecr.britoil73@ship.britoil.com.sg </t>
  </si>
  <si>
    <t>surement krone</t>
  </si>
  <si>
    <t>1/12023</t>
  </si>
  <si>
    <t>CE SARONHI BIN TOPIK</t>
  </si>
  <si>
    <t>Cheng</t>
  </si>
  <si>
    <t>fueltrax with compiter monitoring</t>
  </si>
  <si>
    <t>Teravut  Kamsuvan</t>
  </si>
  <si>
    <t>23-Feb. 2025</t>
  </si>
  <si>
    <t>10-Feb. 2025</t>
  </si>
  <si>
    <t>MGPS onboard-Chemical Treatment Dosing Unit by Biogard</t>
  </si>
  <si>
    <t>Flowmeters for ME's and AE's</t>
  </si>
  <si>
    <t>P10 Equipment onboard, not installed.</t>
  </si>
  <si>
    <t>on deck all LED type</t>
  </si>
  <si>
    <t>Savings by each</t>
  </si>
  <si>
    <t>04 Nov.2020</t>
  </si>
  <si>
    <t>07 Jan.2022</t>
  </si>
  <si>
    <t>IOW Separator</t>
  </si>
  <si>
    <t>total</t>
  </si>
  <si>
    <t>Average/vessel</t>
  </si>
  <si>
    <t>Vessels</t>
  </si>
  <si>
    <t>Co2</t>
  </si>
  <si>
    <t>RE Conversion</t>
  </si>
  <si>
    <t>instal progr</t>
  </si>
  <si>
    <t>Average</t>
  </si>
  <si>
    <t>Installed</t>
  </si>
  <si>
    <t>In Progress</t>
  </si>
  <si>
    <t>Missing</t>
  </si>
  <si>
    <t>Goal 2026</t>
  </si>
  <si>
    <t>Current 2025</t>
  </si>
  <si>
    <t>SOLD</t>
  </si>
  <si>
    <t>Installation Progress</t>
  </si>
  <si>
    <t>Vessel Updated Info</t>
  </si>
  <si>
    <t>Fleet estimated Savings</t>
  </si>
  <si>
    <t>Brake Horsepower </t>
  </si>
  <si>
    <t>Bollard Pull </t>
  </si>
  <si>
    <t>Dimensions</t>
  </si>
  <si>
    <t>Specifications</t>
  </si>
  <si>
    <t>43.00m x 12.60m</t>
  </si>
  <si>
    <t>60.00m x 17.80m</t>
  </si>
  <si>
    <t>51.00m x 13.00m</t>
  </si>
  <si>
    <t>40.00m x 11.40m</t>
  </si>
  <si>
    <t>47.00m x 13.60m</t>
  </si>
  <si>
    <t>52.00m x 15.00m</t>
  </si>
  <si>
    <t>56.00m x 16.00m</t>
  </si>
  <si>
    <t>51.00m x 15.00m</t>
  </si>
  <si>
    <t>59.00m x 16.00m</t>
  </si>
  <si>
    <t>76.00m x 16.80m</t>
  </si>
  <si>
    <t>81.00m x 16.80m</t>
  </si>
  <si>
    <t>65.00m x 16.80m</t>
  </si>
  <si>
    <t>73.00m x 17.20m</t>
  </si>
  <si>
    <t>59.25m x 14.95m</t>
  </si>
  <si>
    <t>65.00m x 16.40m</t>
  </si>
  <si>
    <t>65.00m x 16.00m</t>
  </si>
  <si>
    <t>NA</t>
  </si>
  <si>
    <t>32.50m x 7.90m</t>
  </si>
  <si>
    <t>610 sqm</t>
  </si>
  <si>
    <t>71.50m x 15.00m</t>
  </si>
  <si>
    <t>750 sqm</t>
  </si>
  <si>
    <t>80.00m x 18.40m</t>
  </si>
  <si>
    <t>620 sqm</t>
  </si>
  <si>
    <t>71.85m x 16.00m</t>
  </si>
  <si>
    <t>850 sqm</t>
  </si>
  <si>
    <t>83.40m x 18.00m</t>
  </si>
  <si>
    <t>708 sqm</t>
  </si>
  <si>
    <t>73.60m x 16.00m</t>
  </si>
  <si>
    <t>700 sqm</t>
  </si>
  <si>
    <t>75.00m x 17.25m</t>
  </si>
  <si>
    <t>701 sqm</t>
  </si>
  <si>
    <t>703 sqm</t>
  </si>
  <si>
    <t>704 sqm</t>
  </si>
  <si>
    <t>705 sqm</t>
  </si>
  <si>
    <t>706 sqm</t>
  </si>
  <si>
    <t>707 sqm</t>
  </si>
  <si>
    <t>709 sqm</t>
  </si>
  <si>
    <t>710 sqm</t>
  </si>
  <si>
    <t>711 sqm</t>
  </si>
  <si>
    <t>fuel cons 24hours full power literse</t>
  </si>
  <si>
    <t>old value of Fuel cons fuel power</t>
  </si>
  <si>
    <t>Last 12 months</t>
  </si>
  <si>
    <t>Goal next 12 months</t>
  </si>
  <si>
    <t>total cons full power 24h</t>
  </si>
  <si>
    <t>number of days full power</t>
  </si>
  <si>
    <t>total cons year m3</t>
  </si>
  <si>
    <t>density</t>
  </si>
  <si>
    <t>total cons ton</t>
  </si>
  <si>
    <t>total price</t>
  </si>
  <si>
    <t>Britoil Defender</t>
  </si>
  <si>
    <t>still 8 piece of halogen lights left but okay</t>
  </si>
  <si>
    <t>konsberg mos33 not working</t>
  </si>
  <si>
    <t>Brand is KC limited</t>
  </si>
  <si>
    <t>have it but not installed</t>
  </si>
  <si>
    <t>Have LED for tubes but no floodlights</t>
  </si>
  <si>
    <t>Electronic consumption system (EMRSON) – used for consumption calculation</t>
  </si>
  <si>
    <t>First – Chlorine/Hydrogen Peroxide, and Second – Treaton 2218.</t>
  </si>
  <si>
    <t>We have mentioned counter only for ME Fuel consumption</t>
  </si>
  <si>
    <t>Bioguard</t>
  </si>
  <si>
    <t>only mecanical number</t>
  </si>
  <si>
    <t>still some flood lights left but all LED</t>
  </si>
  <si>
    <t>MGPS anti fouling system installed (HWASEUNG R&amp;A WILSON WALTON KOREA) and yes we use Bioguard for or Central/Misc. sea water cooling system.</t>
  </si>
  <si>
    <t>all flood lights are LED, installed during last dry dock in 2022</t>
  </si>
  <si>
    <t>a bit in acco but no outside</t>
  </si>
  <si>
    <t>We have MGPS with 2 anodes each Main Sea chest.</t>
  </si>
  <si>
    <t>We have LED Light on board including Flood lights.</t>
  </si>
  <si>
    <t>We have Fuel trax system for ME, All Aux Engine and Fuel tank. + data</t>
  </si>
  <si>
    <t>installed and tested</t>
  </si>
  <si>
    <t>EGENKIT. I have credentials for platform</t>
  </si>
  <si>
    <t>no on me and big engines</t>
  </si>
  <si>
    <t xml:space="preserve">We have counters for ME,AE  Fuel consumption. It is connected to our Rolls Royse monitoring system.  </t>
  </si>
  <si>
    <t>Scopes</t>
  </si>
  <si>
    <t>1, 3</t>
  </si>
  <si>
    <t>Scope 1</t>
  </si>
  <si>
    <t>Deva Paint</t>
  </si>
  <si>
    <t>EFMS not using Monitor</t>
  </si>
  <si>
    <t>EFMS Ascenz GEN E KIT</t>
  </si>
  <si>
    <t>Custom ligne (a)</t>
  </si>
  <si>
    <t>712 sqm</t>
  </si>
  <si>
    <t>713 sqm</t>
  </si>
  <si>
    <t>Scope 3</t>
  </si>
  <si>
    <t>Scope 3 Expected Savings/year</t>
  </si>
  <si>
    <t>Scope 1 Expected Savings/year</t>
  </si>
  <si>
    <t>Khrone EFMS. Have data collection ? Yes by Kongsberg KSIM</t>
  </si>
  <si>
    <t>CJC Filter</t>
  </si>
  <si>
    <t>1,3</t>
  </si>
  <si>
    <t>EXPECTED SAVINGS OLD VERSION</t>
  </si>
  <si>
    <t>EXPECTED SAVINGS NEW VERSION</t>
  </si>
  <si>
    <t>TO</t>
  </si>
  <si>
    <t>CHANGE / ADAPT</t>
  </si>
  <si>
    <t>VERIFY</t>
  </si>
  <si>
    <t xml:space="preserve">       Best Savings   →</t>
  </si>
  <si>
    <t xml:space="preserve">       Best Vessel     →</t>
  </si>
  <si>
    <t>Spinergie Fleet</t>
  </si>
  <si>
    <t>POC OK?</t>
  </si>
  <si>
    <t>Britoil Dynamic</t>
  </si>
  <si>
    <t>Brine Eagle</t>
  </si>
  <si>
    <t>MWV Falgout</t>
  </si>
  <si>
    <t>714 sqm</t>
  </si>
  <si>
    <t>Britoil Defiance</t>
  </si>
  <si>
    <t>Britoil Diligance</t>
  </si>
  <si>
    <t>Britoil Dignity</t>
  </si>
  <si>
    <t>Britoil Dominance</t>
  </si>
  <si>
    <t>Silicon Paint</t>
  </si>
  <si>
    <t>Shore Generator</t>
  </si>
  <si>
    <t>Scope 1 price</t>
  </si>
  <si>
    <t>Scope 3 price</t>
  </si>
  <si>
    <t>Total scopes</t>
  </si>
  <si>
    <t xml:space="preserve">Unisea </t>
  </si>
  <si>
    <t>ton MDO</t>
  </si>
  <si>
    <t>Savings Scope1</t>
  </si>
  <si>
    <t xml:space="preserve">Ask for quotes </t>
  </si>
  <si>
    <t>Ask for quotes</t>
  </si>
  <si>
    <t>Britoil Courage</t>
  </si>
  <si>
    <t>Was intalled with cap eye , but we remove after end of charter</t>
  </si>
  <si>
    <t>Installed on Propeller, bow thrusters, sea chest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</si>
</sst>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"/>
    <numFmt numFmtId="165" formatCode="&quot;$&quot;#,##0.00;[Red]&quot;$&quot;#,##0.00"/>
    <numFmt numFmtId="166" formatCode="&quot;$&quot;#,##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1"/>
      <color rgb="FF00823B"/>
      <name val="Calibri"/>
      <family val="2"/>
      <scheme val="minor"/>
    </font>
    <font>
      <b/>
      <sz val="12"/>
      <color rgb="FF00823B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00823B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F4F7ED"/>
        <bgColor indexed="64"/>
      </patternFill>
    </fill>
    <fill>
      <patternFill patternType="solid">
        <fgColor rgb="FFFEF2E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0F8FA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823B"/>
      </right>
      <top style="medium">
        <color rgb="FF00823B"/>
      </top>
      <bottom/>
      <diagonal/>
    </border>
    <border>
      <left style="medium">
        <color rgb="FF00823B"/>
      </left>
      <right/>
      <top/>
      <bottom/>
      <diagonal/>
    </border>
    <border>
      <left/>
      <right style="medium">
        <color rgb="FF00823B"/>
      </right>
      <top/>
      <bottom/>
      <diagonal/>
    </border>
    <border>
      <left style="medium">
        <color rgb="FF00823B"/>
      </left>
      <right/>
      <top/>
      <bottom style="medium">
        <color rgb="FF00823B"/>
      </bottom>
      <diagonal/>
    </border>
    <border>
      <left/>
      <right style="medium">
        <color rgb="FF00823B"/>
      </right>
      <top/>
      <bottom style="medium">
        <color rgb="FF00823B"/>
      </bottom>
      <diagonal/>
    </border>
    <border>
      <left/>
      <right/>
      <top style="medium">
        <color rgb="FF00823B"/>
      </top>
      <bottom/>
      <diagonal/>
    </border>
    <border>
      <left/>
      <right/>
      <top/>
      <bottom style="medium">
        <color rgb="FF00823B"/>
      </bottom>
      <diagonal/>
    </border>
    <border>
      <left style="medium">
        <color rgb="FF00823B"/>
      </left>
      <right/>
      <top style="medium">
        <color rgb="FF00823B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8" fillId="0" borderId="0" applyNumberFormat="0" applyFill="0" applyBorder="0" applyAlignment="0" applyProtection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2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9" fontId="10" fillId="0" borderId="3" xfId="2" applyFont="1" applyFill="1" applyBorder="1" applyAlignment="1">
      <alignment horizontal="center" vertical="center"/>
    </xf>
    <xf numFmtId="9" fontId="10" fillId="0" borderId="5" xfId="2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 wrapText="1"/>
    </xf>
    <xf numFmtId="14" fontId="0" fillId="3" borderId="18" xfId="0" applyNumberFormat="1" applyFill="1" applyBorder="1" applyAlignment="1">
      <alignment horizontal="center" vertical="center"/>
    </xf>
    <xf numFmtId="14" fontId="0" fillId="3" borderId="19" xfId="0" applyNumberFormat="1" applyFill="1" applyBorder="1" applyAlignment="1">
      <alignment horizontal="center" vertical="center"/>
    </xf>
    <xf numFmtId="14" fontId="0" fillId="4" borderId="18" xfId="0" applyNumberFormat="1" applyFill="1" applyBorder="1" applyAlignment="1">
      <alignment horizontal="center" vertical="center"/>
    </xf>
    <xf numFmtId="14" fontId="0" fillId="4" borderId="19" xfId="0" applyNumberFormat="1" applyFill="1" applyBorder="1" applyAlignment="1">
      <alignment horizontal="center" vertical="center"/>
    </xf>
    <xf numFmtId="14" fontId="0" fillId="4" borderId="20" xfId="0" applyNumberFormat="1" applyFill="1" applyBorder="1" applyAlignment="1">
      <alignment horizontal="center" vertical="center"/>
    </xf>
    <xf numFmtId="14" fontId="0" fillId="3" borderId="20" xfId="0" applyNumberForma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3"/>
    </xf>
    <xf numFmtId="0" fontId="3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left" vertical="center" wrapText="1" indent="3"/>
    </xf>
    <xf numFmtId="2" fontId="0" fillId="0" borderId="6" xfId="0" applyNumberFormat="1" applyBorder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13" fillId="3" borderId="18" xfId="0" applyNumberFormat="1" applyFont="1" applyFill="1" applyBorder="1" applyAlignment="1">
      <alignment horizontal="center" vertical="center"/>
    </xf>
    <xf numFmtId="2" fontId="13" fillId="3" borderId="18" xfId="0" applyNumberFormat="1" applyFont="1" applyFill="1" applyBorder="1" applyAlignment="1">
      <alignment horizontal="center" vertical="center"/>
    </xf>
    <xf numFmtId="164" fontId="13" fillId="3" borderId="19" xfId="0" applyNumberFormat="1" applyFont="1" applyFill="1" applyBorder="1" applyAlignment="1">
      <alignment horizontal="center" vertical="center"/>
    </xf>
    <xf numFmtId="2" fontId="13" fillId="3" borderId="19" xfId="0" applyNumberFormat="1" applyFont="1" applyFill="1" applyBorder="1" applyAlignment="1">
      <alignment horizontal="center" vertical="center"/>
    </xf>
    <xf numFmtId="164" fontId="13" fillId="4" borderId="18" xfId="0" applyNumberFormat="1" applyFont="1" applyFill="1" applyBorder="1" applyAlignment="1">
      <alignment horizontal="center" vertical="center"/>
    </xf>
    <xf numFmtId="2" fontId="13" fillId="4" borderId="18" xfId="0" applyNumberFormat="1" applyFont="1" applyFill="1" applyBorder="1" applyAlignment="1">
      <alignment horizontal="center" vertical="center"/>
    </xf>
    <xf numFmtId="164" fontId="13" fillId="4" borderId="19" xfId="0" applyNumberFormat="1" applyFont="1" applyFill="1" applyBorder="1" applyAlignment="1">
      <alignment horizontal="center" vertical="center"/>
    </xf>
    <xf numFmtId="2" fontId="13" fillId="4" borderId="19" xfId="0" applyNumberFormat="1" applyFont="1" applyFill="1" applyBorder="1" applyAlignment="1">
      <alignment horizontal="center" vertical="center"/>
    </xf>
    <xf numFmtId="164" fontId="13" fillId="4" borderId="20" xfId="0" applyNumberFormat="1" applyFont="1" applyFill="1" applyBorder="1" applyAlignment="1">
      <alignment horizontal="center" vertical="center"/>
    </xf>
    <xf numFmtId="2" fontId="13" fillId="4" borderId="20" xfId="0" applyNumberFormat="1" applyFont="1" applyFill="1" applyBorder="1" applyAlignment="1">
      <alignment horizontal="center" vertical="center"/>
    </xf>
    <xf numFmtId="164" fontId="13" fillId="3" borderId="20" xfId="0" applyNumberFormat="1" applyFont="1" applyFill="1" applyBorder="1" applyAlignment="1">
      <alignment horizontal="center" vertical="center"/>
    </xf>
    <xf numFmtId="2" fontId="13" fillId="3" borderId="20" xfId="0" applyNumberFormat="1" applyFont="1" applyFill="1" applyBorder="1" applyAlignment="1">
      <alignment horizontal="center" vertical="center"/>
    </xf>
    <xf numFmtId="165" fontId="13" fillId="3" borderId="19" xfId="0" applyNumberFormat="1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166" fontId="14" fillId="8" borderId="1" xfId="0" applyNumberFormat="1" applyFont="1" applyFill="1" applyBorder="1" applyAlignment="1">
      <alignment horizontal="center" vertical="center"/>
    </xf>
    <xf numFmtId="166" fontId="14" fillId="4" borderId="1" xfId="0" applyNumberFormat="1" applyFont="1" applyFill="1" applyBorder="1" applyAlignment="1">
      <alignment horizontal="center" vertical="center"/>
    </xf>
    <xf numFmtId="166" fontId="13" fillId="5" borderId="24" xfId="0" applyNumberFormat="1" applyFont="1" applyFill="1" applyBorder="1" applyAlignment="1">
      <alignment horizontal="center" vertical="center"/>
    </xf>
    <xf numFmtId="166" fontId="13" fillId="8" borderId="25" xfId="0" applyNumberFormat="1" applyFont="1" applyFill="1" applyBorder="1" applyAlignment="1">
      <alignment horizontal="center" vertical="center"/>
    </xf>
    <xf numFmtId="166" fontId="13" fillId="8" borderId="24" xfId="0" applyNumberFormat="1" applyFont="1" applyFill="1" applyBorder="1" applyAlignment="1">
      <alignment horizontal="center" vertical="center"/>
    </xf>
    <xf numFmtId="166" fontId="13" fillId="8" borderId="27" xfId="0" applyNumberFormat="1" applyFont="1" applyFill="1" applyBorder="1" applyAlignment="1">
      <alignment horizontal="center" vertical="center"/>
    </xf>
    <xf numFmtId="166" fontId="13" fillId="4" borderId="24" xfId="0" applyNumberFormat="1" applyFont="1" applyFill="1" applyBorder="1" applyAlignment="1">
      <alignment horizontal="center" vertical="center"/>
    </xf>
    <xf numFmtId="166" fontId="13" fillId="4" borderId="27" xfId="0" applyNumberFormat="1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4" fillId="7" borderId="0" xfId="0" applyNumberFormat="1" applyFont="1" applyFill="1" applyAlignment="1">
      <alignment horizontal="center" vertical="center"/>
    </xf>
    <xf numFmtId="0" fontId="14" fillId="7" borderId="35" xfId="0" applyFont="1" applyFill="1" applyBorder="1" applyAlignment="1">
      <alignment horizontal="center" vertical="center"/>
    </xf>
    <xf numFmtId="166" fontId="14" fillId="7" borderId="33" xfId="0" applyNumberFormat="1" applyFont="1" applyFill="1" applyBorder="1" applyAlignment="1">
      <alignment horizontal="center" vertical="center"/>
    </xf>
    <xf numFmtId="1" fontId="14" fillId="7" borderId="34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10" fillId="0" borderId="4" xfId="2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0" fillId="4" borderId="0" xfId="0" applyFill="1" applyAlignment="1">
      <alignment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/>
    </xf>
    <xf numFmtId="0" fontId="23" fillId="2" borderId="36" xfId="0" applyFont="1" applyFill="1" applyBorder="1" applyAlignment="1">
      <alignment horizontal="center" vertical="center"/>
    </xf>
    <xf numFmtId="9" fontId="1" fillId="0" borderId="0" xfId="2" applyFont="1" applyAlignment="1">
      <alignment horizontal="center" vertical="center"/>
    </xf>
    <xf numFmtId="44" fontId="0" fillId="0" borderId="0" xfId="3" applyFont="1"/>
    <xf numFmtId="1" fontId="0" fillId="0" borderId="0" xfId="0" applyNumberFormat="1"/>
    <xf numFmtId="9" fontId="0" fillId="0" borderId="0" xfId="0" applyNumberFormat="1"/>
    <xf numFmtId="2" fontId="0" fillId="0" borderId="0" xfId="2" applyNumberFormat="1" applyFont="1"/>
    <xf numFmtId="10" fontId="0" fillId="0" borderId="0" xfId="0" applyNumberFormat="1"/>
    <xf numFmtId="2" fontId="0" fillId="0" borderId="18" xfId="0" applyNumberFormat="1" applyBorder="1" applyAlignment="1">
      <alignment horizontal="center" vertical="center"/>
    </xf>
    <xf numFmtId="166" fontId="0" fillId="0" borderId="0" xfId="3" applyNumberFormat="1" applyFont="1"/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9" fontId="0" fillId="0" borderId="0" xfId="2" applyFont="1"/>
    <xf numFmtId="2" fontId="0" fillId="0" borderId="0" xfId="0" applyNumberFormat="1"/>
    <xf numFmtId="0" fontId="3" fillId="2" borderId="22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66" fontId="13" fillId="5" borderId="27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25" fillId="0" borderId="0" xfId="3" applyNumberFormat="1" applyFont="1" applyAlignment="1">
      <alignment horizontal="center" vertical="center"/>
    </xf>
    <xf numFmtId="166" fontId="25" fillId="0" borderId="0" xfId="3" applyNumberFormat="1" applyFont="1" applyAlignment="1">
      <alignment horizontal="center" vertical="center"/>
    </xf>
    <xf numFmtId="10" fontId="1" fillId="0" borderId="0" xfId="2" applyNumberFormat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23" fillId="2" borderId="41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 indent="2"/>
    </xf>
    <xf numFmtId="0" fontId="0" fillId="0" borderId="11" xfId="0" applyBorder="1" applyAlignment="1">
      <alignment horizontal="left" vertical="center" wrapText="1" indent="2"/>
    </xf>
    <xf numFmtId="0" fontId="0" fillId="0" borderId="13" xfId="0" applyBorder="1" applyAlignment="1">
      <alignment horizontal="left" vertical="center" wrapText="1" indent="2"/>
    </xf>
    <xf numFmtId="0" fontId="0" fillId="0" borderId="14" xfId="0" applyBorder="1" applyAlignment="1">
      <alignment horizontal="left" vertical="center" wrapText="1" indent="2"/>
    </xf>
    <xf numFmtId="0" fontId="3" fillId="5" borderId="10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 indent="3"/>
    </xf>
    <xf numFmtId="0" fontId="0" fillId="0" borderId="16" xfId="0" applyBorder="1" applyAlignment="1">
      <alignment horizontal="left" vertical="center" wrapText="1" indent="3"/>
    </xf>
    <xf numFmtId="0" fontId="0" fillId="0" borderId="1" xfId="0" applyBorder="1" applyAlignment="1">
      <alignment horizontal="left" vertical="center" wrapText="1" indent="4"/>
    </xf>
    <xf numFmtId="0" fontId="0" fillId="0" borderId="13" xfId="0" applyBorder="1" applyAlignment="1">
      <alignment horizontal="left" vertical="center" wrapText="1" indent="4"/>
    </xf>
    <xf numFmtId="0" fontId="0" fillId="0" borderId="11" xfId="0" applyBorder="1" applyAlignment="1">
      <alignment horizontal="left" vertical="center" wrapText="1" indent="3"/>
    </xf>
    <xf numFmtId="0" fontId="0" fillId="0" borderId="14" xfId="0" applyBorder="1" applyAlignment="1">
      <alignment horizontal="left" vertical="center" wrapText="1" indent="3"/>
    </xf>
    <xf numFmtId="0" fontId="8" fillId="4" borderId="3" xfId="1" applyFill="1" applyBorder="1" applyAlignment="1">
      <alignment horizontal="center" vertical="center"/>
    </xf>
    <xf numFmtId="0" fontId="8" fillId="4" borderId="5" xfId="1" applyFill="1" applyBorder="1" applyAlignment="1">
      <alignment horizontal="center" vertical="center"/>
    </xf>
    <xf numFmtId="0" fontId="8" fillId="4" borderId="4" xfId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6" fontId="4" fillId="7" borderId="35" xfId="0" applyNumberFormat="1" applyFont="1" applyFill="1" applyBorder="1" applyAlignment="1">
      <alignment horizontal="center" vertical="center"/>
    </xf>
    <xf numFmtId="166" fontId="4" fillId="7" borderId="33" xfId="0" applyNumberFormat="1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15" fillId="7" borderId="28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7" borderId="32" xfId="0" applyFont="1" applyFill="1" applyBorder="1" applyAlignment="1">
      <alignment horizontal="center" vertical="center"/>
    </xf>
  </cellXfs>
  <cellStyles count="8">
    <cellStyle name="Currency" xfId="3" builtinId="4"/>
    <cellStyle name="Currency 2" xfId="4" xr:uid="{7E28B472-A8E6-44F3-B250-406E02F933F8}"/>
    <cellStyle name="Currency 3" xfId="5" xr:uid="{148EC413-2196-468E-9285-3419943DDC93}"/>
    <cellStyle name="Currency 4" xfId="6" xr:uid="{329ACC24-51A0-4722-97B4-E95D0FE71295}"/>
    <cellStyle name="Currency 5" xfId="7" xr:uid="{BB9CD91F-92C2-457A-94DC-92171C8C6AC8}"/>
    <cellStyle name="Hyperlink" xfId="1" builtinId="8"/>
    <cellStyle name="Normal" xfId="0" builtinId="0"/>
    <cellStyle name="Percent" xfId="2" builtinId="5"/>
  </cellStyles>
  <dxfs count="4"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colors>
    <mruColors>
      <color rgb="FFD9EAD3"/>
      <color rgb="FFF4F7ED"/>
      <color rgb="FF5D8200"/>
      <color rgb="FFE5F4F7"/>
      <color rgb="FF00823B"/>
      <color rgb="FFDED900"/>
      <color rgb="FF2BFA26"/>
      <color rgb="FFFEF2E8"/>
      <color rgb="FFF0F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Best Vessels - Cost Savings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40965025580204"/>
          <c:y val="0.16530365017500936"/>
          <c:w val="0.83218564392272532"/>
          <c:h val="0.5548561498223235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823B"/>
            </a:solidFill>
            <a:ln>
              <a:noFill/>
            </a:ln>
            <a:effectLst>
              <a:softEdge rad="0"/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1-0611-4EC2-A36A-CCCE145870E3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2-0611-4EC2-A36A-CCCE145870E3}"/>
              </c:ext>
            </c:extLst>
          </c:dPt>
          <c:dPt>
            <c:idx val="2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3-0611-4EC2-A36A-CCCE145870E3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4-0611-4EC2-A36A-CCCE145870E3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5-0611-4EC2-A36A-CCCE145870E3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6-0611-4EC2-A36A-CCCE145870E3}"/>
              </c:ext>
            </c:extLst>
          </c:dPt>
          <c:dPt>
            <c:idx val="6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7-0611-4EC2-A36A-CCCE145870E3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8-0611-4EC2-A36A-CCCE145870E3}"/>
              </c:ext>
            </c:extLst>
          </c:dPt>
          <c:dPt>
            <c:idx val="8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9-0611-4EC2-A36A-CCCE145870E3}"/>
              </c:ext>
            </c:extLst>
          </c:dPt>
          <c:dPt>
            <c:idx val="9"/>
            <c:invertIfNegative val="0"/>
            <c:bubble3D val="0"/>
            <c:spPr>
              <a:solidFill>
                <a:srgbClr val="00823B"/>
              </a:solidFill>
              <a:ln>
                <a:noFill/>
              </a:ln>
              <a:effectLst>
                <a:softEdge rad="0"/>
              </a:effectLst>
            </c:spPr>
            <c:extLst>
              <c:ext xmlns:c16="http://schemas.microsoft.com/office/drawing/2014/chart" uri="{C3380CC4-5D6E-409C-BE32-E72D297353CC}">
                <c16:uniqueId val="{0000000A-0611-4EC2-A36A-CCCE145870E3}"/>
              </c:ext>
            </c:extLst>
          </c:dPt>
          <c:cat>
            <c:strRef>
              <c:f>Summary!$A$99:$A$108</c:f>
              <c:strCache>
                <c:ptCount val="10"/>
                <c:pt idx="0">
                  <c:v>Britoil Defiance</c:v>
                </c:pt>
                <c:pt idx="1">
                  <c:v>Britoil 81</c:v>
                </c:pt>
                <c:pt idx="2">
                  <c:v>BOS Pride</c:v>
                </c:pt>
                <c:pt idx="3">
                  <c:v>BOS Champion</c:v>
                </c:pt>
                <c:pt idx="4">
                  <c:v>Britoil Journey</c:v>
                </c:pt>
                <c:pt idx="5">
                  <c:v>BOS Prince</c:v>
                </c:pt>
                <c:pt idx="6">
                  <c:v>BOS Prime</c:v>
                </c:pt>
                <c:pt idx="7">
                  <c:v>Britoil 72</c:v>
                </c:pt>
                <c:pt idx="8">
                  <c:v>Britoil 41</c:v>
                </c:pt>
                <c:pt idx="9">
                  <c:v>Britoil Justice</c:v>
                </c:pt>
              </c:strCache>
            </c:strRef>
          </c:cat>
          <c:val>
            <c:numRef>
              <c:f>Summary!$B$99:$B$108</c:f>
              <c:numCache>
                <c:formatCode>"$"#,##0</c:formatCode>
                <c:ptCount val="10"/>
                <c:pt idx="0">
                  <c:v>79887.581821582193</c:v>
                </c:pt>
                <c:pt idx="1">
                  <c:v>61944.305217879184</c:v>
                </c:pt>
                <c:pt idx="2">
                  <c:v>48229.698896577516</c:v>
                </c:pt>
                <c:pt idx="3">
                  <c:v>47544.567046942218</c:v>
                </c:pt>
                <c:pt idx="4">
                  <c:v>47000</c:v>
                </c:pt>
                <c:pt idx="5">
                  <c:v>46400</c:v>
                </c:pt>
                <c:pt idx="6">
                  <c:v>46400</c:v>
                </c:pt>
                <c:pt idx="7">
                  <c:v>44842.341499906484</c:v>
                </c:pt>
                <c:pt idx="8">
                  <c:v>44460</c:v>
                </c:pt>
                <c:pt idx="9">
                  <c:v>42400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1-4EC2-A36A-CCCE14587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34592208"/>
        <c:axId val="34576368"/>
      </c:barChart>
      <c:catAx>
        <c:axId val="3459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6368"/>
        <c:crosses val="autoZero"/>
        <c:auto val="1"/>
        <c:lblAlgn val="ctr"/>
        <c:lblOffset val="100"/>
        <c:noMultiLvlLbl val="0"/>
      </c:catAx>
      <c:valAx>
        <c:axId val="34576368"/>
        <c:scaling>
          <c:orientation val="minMax"/>
          <c:max val="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2208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v>Savings</c:v>
          </c:tx>
          <c:explosion val="1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48-49EF-9464-9B17910F03E5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A48-49EF-9464-9B17910F03E5}"/>
              </c:ext>
            </c:extLst>
          </c:dPt>
          <c:dPt>
            <c:idx val="2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48-49EF-9464-9B17910F03E5}"/>
              </c:ext>
            </c:extLst>
          </c:dPt>
          <c:dLbls>
            <c:dLbl>
              <c:idx val="0"/>
              <c:layout>
                <c:manualLayout>
                  <c:x val="0.1300256629597947"/>
                  <c:y val="-0.2500000000000000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48-49EF-9464-9B17910F03E5}"/>
                </c:ext>
              </c:extLst>
            </c:dLbl>
            <c:dLbl>
              <c:idx val="1"/>
              <c:layout>
                <c:manualLayout>
                  <c:x val="-0.14713430282292561"/>
                  <c:y val="6.48148148148146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48-49EF-9464-9B17910F03E5}"/>
                </c:ext>
              </c:extLst>
            </c:dLbl>
            <c:dLbl>
              <c:idx val="2"/>
              <c:layout>
                <c:manualLayout>
                  <c:x val="-9.580838323353294E-2"/>
                  <c:y val="-0.1666666666666666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48-49EF-9464-9B17910F03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(Summary!$A$25,Summary!$C$25,Summary!$E$25)</c:f>
              <c:strCache>
                <c:ptCount val="3"/>
                <c:pt idx="0">
                  <c:v>BOS DUBAI</c:v>
                </c:pt>
                <c:pt idx="1">
                  <c:v>BOS SG</c:v>
                </c:pt>
                <c:pt idx="2">
                  <c:v>BOS ITALY</c:v>
                </c:pt>
              </c:strCache>
            </c:strRef>
          </c:cat>
          <c:val>
            <c:numRef>
              <c:f>(Summary!$B$25,Summary!$D$25,Summary!$F$25)</c:f>
              <c:numCache>
                <c:formatCode>"$"#,##0</c:formatCode>
                <c:ptCount val="3"/>
                <c:pt idx="0">
                  <c:v>694442.61548531894</c:v>
                </c:pt>
                <c:pt idx="1">
                  <c:v>393234.93080231902</c:v>
                </c:pt>
                <c:pt idx="2">
                  <c:v>477830.54984103231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8-49EF-9464-9B17910F03E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7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95276849386631"/>
          <c:y val="0.44320501603966173"/>
          <c:w val="0.17795998451013295"/>
          <c:h val="0.267995406824146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Savings</a:t>
            </a:r>
            <a:r>
              <a:rPr lang="en-SG" baseline="0"/>
              <a:t> by devices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>
        <c:manualLayout>
          <c:layoutTarget val="inner"/>
          <c:xMode val="edge"/>
          <c:yMode val="edge"/>
          <c:x val="0.22197619723764034"/>
          <c:y val="0.21800925925925929"/>
          <c:w val="0.39058360655737706"/>
          <c:h val="0.68939814814814815"/>
        </c:manualLayout>
      </c:layout>
      <c:doughnut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438-494D-A117-67409F460F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5C-4FB9-A73E-C0FA344B72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5C-4FB9-A73E-C0FA344B72D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45C-4FB9-A73E-C0FA344B72D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45C-4FB9-A73E-C0FA344B72D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45C-4FB9-A73E-C0FA344B72D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45C-4FB9-A73E-C0FA344B72D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45C-4FB9-A73E-C0FA344B72D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856-489F-BAA0-D8B855298D4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0EF-4C19-83B3-3D46811906A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0EF-4C19-83B3-3D46811906A8}"/>
              </c:ext>
            </c:extLst>
          </c:dPt>
          <c:dLbls>
            <c:dLbl>
              <c:idx val="0"/>
              <c:layout>
                <c:manualLayout>
                  <c:x val="8.3934426229508197E-2"/>
                  <c:y val="-0.3194444444444444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38-494D-A117-67409F460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Summary!$A$3:$A$13</c:f>
              <c:strCache>
                <c:ptCount val="11"/>
                <c:pt idx="0">
                  <c:v>MGPS</c:v>
                </c:pt>
                <c:pt idx="1">
                  <c:v>EFMS</c:v>
                </c:pt>
                <c:pt idx="2">
                  <c:v>IWTM Filter</c:v>
                </c:pt>
                <c:pt idx="3">
                  <c:v>CJC Filter</c:v>
                </c:pt>
                <c:pt idx="4">
                  <c:v>CMCE LP</c:v>
                </c:pt>
                <c:pt idx="5">
                  <c:v>LED lights</c:v>
                </c:pt>
                <c:pt idx="6">
                  <c:v>Chlorinator</c:v>
                </c:pt>
                <c:pt idx="7">
                  <c:v>Deva Paint</c:v>
                </c:pt>
                <c:pt idx="8">
                  <c:v>AI CCTV</c:v>
                </c:pt>
                <c:pt idx="9">
                  <c:v>Spinergie Fleet</c:v>
                </c:pt>
                <c:pt idx="10">
                  <c:v>Nautilus Log</c:v>
                </c:pt>
              </c:strCache>
            </c:strRef>
          </c:cat>
          <c:val>
            <c:numRef>
              <c:f>Summary!$N$3:$N$13</c:f>
              <c:numCache>
                <c:formatCode>General</c:formatCode>
                <c:ptCount val="11"/>
                <c:pt idx="0">
                  <c:v>681600</c:v>
                </c:pt>
                <c:pt idx="1">
                  <c:v>289000</c:v>
                </c:pt>
                <c:pt idx="2">
                  <c:v>223300</c:v>
                </c:pt>
                <c:pt idx="4">
                  <c:v>90000</c:v>
                </c:pt>
                <c:pt idx="5">
                  <c:v>319800</c:v>
                </c:pt>
                <c:pt idx="6">
                  <c:v>12300</c:v>
                </c:pt>
                <c:pt idx="7">
                  <c:v>0</c:v>
                </c:pt>
                <c:pt idx="8">
                  <c:v>20000</c:v>
                </c:pt>
                <c:pt idx="10">
                  <c:v>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8-494D-A117-67409F46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7"/>
      </c:doughnutChart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2091266204771109"/>
          <c:y val="0.3306463254593176"/>
          <c:w val="0.19184840583451662"/>
          <c:h val="0.53599081364829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Savings by Region -</a:t>
            </a:r>
            <a:r>
              <a:rPr lang="en-SG" baseline="0"/>
              <a:t> Average per vessel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>
        <c:manualLayout>
          <c:layoutTarget val="inner"/>
          <c:xMode val="edge"/>
          <c:yMode val="edge"/>
          <c:x val="0.21687595776985277"/>
          <c:y val="0.17171296296296298"/>
          <c:w val="0.6396262843826136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0EC-4C99-808B-CDBBC6A9689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0EC-4C99-808B-CDBBC6A968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EC-4C99-808B-CDBBC6A96892}"/>
              </c:ext>
            </c:extLst>
          </c:dPt>
          <c:cat>
            <c:strRef>
              <c:f>Summary!$Q$28:$Q$30</c:f>
              <c:strCache>
                <c:ptCount val="3"/>
                <c:pt idx="0">
                  <c:v>BOS ITALY</c:v>
                </c:pt>
                <c:pt idx="1">
                  <c:v>BOS SG</c:v>
                </c:pt>
                <c:pt idx="2">
                  <c:v>BOS DUBAI</c:v>
                </c:pt>
              </c:strCache>
            </c:strRef>
          </c:cat>
          <c:val>
            <c:numRef>
              <c:f>Summary!$S$28:$S$30</c:f>
              <c:numCache>
                <c:formatCode>"$"#,##0.00</c:formatCode>
                <c:ptCount val="3"/>
                <c:pt idx="0">
                  <c:v>20775.241297436187</c:v>
                </c:pt>
                <c:pt idx="1">
                  <c:v>24577.183175144939</c:v>
                </c:pt>
                <c:pt idx="2">
                  <c:v>24801.521981618534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C-4C99-808B-CDBBC6A96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7"/>
        <c:overlap val="3"/>
        <c:axId val="1374313696"/>
        <c:axId val="1374314176"/>
      </c:barChart>
      <c:catAx>
        <c:axId val="137431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14176"/>
        <c:crosses val="autoZero"/>
        <c:auto val="1"/>
        <c:lblAlgn val="ctr"/>
        <c:lblOffset val="100"/>
        <c:noMultiLvlLbl val="0"/>
      </c:catAx>
      <c:valAx>
        <c:axId val="137431417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31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 baseline="0"/>
              <a:t>Co2 saved by devices</a:t>
            </a:r>
            <a:endParaRPr lang="en-SG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197619723764034"/>
          <c:y val="0.21800925925925929"/>
          <c:w val="0.39058360655737706"/>
          <c:h val="0.68939814814814815"/>
        </c:manualLayout>
      </c:layout>
      <c:doughnut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D-4F8A-9AB9-303950EFBD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D-4F8A-9AB9-303950EFBDD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D-4F8A-9AB9-303950EFBDD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D-4F8A-9AB9-303950EFBDD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DD-4F8A-9AB9-303950EFBDD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DD-4F8A-9AB9-303950EFBDD8}"/>
              </c:ext>
            </c:extLst>
          </c:dPt>
          <c:dPt>
            <c:idx val="7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DD-4F8A-9AB9-303950EFBDD8}"/>
              </c:ext>
            </c:extLst>
          </c:dPt>
          <c:dPt>
            <c:idx val="8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0A1-4C37-830A-5485C7FA794C}"/>
              </c:ext>
            </c:extLst>
          </c:dPt>
          <c:cat>
            <c:strRef>
              <c:f>Summary!$A$3:$A$13</c:f>
              <c:strCache>
                <c:ptCount val="11"/>
                <c:pt idx="0">
                  <c:v>MGPS</c:v>
                </c:pt>
                <c:pt idx="1">
                  <c:v>EFMS</c:v>
                </c:pt>
                <c:pt idx="2">
                  <c:v>IWTM Filter</c:v>
                </c:pt>
                <c:pt idx="3">
                  <c:v>CJC Filter</c:v>
                </c:pt>
                <c:pt idx="4">
                  <c:v>CMCE LP</c:v>
                </c:pt>
                <c:pt idx="5">
                  <c:v>LED lights</c:v>
                </c:pt>
                <c:pt idx="6">
                  <c:v>Chlorinator</c:v>
                </c:pt>
                <c:pt idx="7">
                  <c:v>Deva Paint</c:v>
                </c:pt>
                <c:pt idx="8">
                  <c:v>AI CCTV</c:v>
                </c:pt>
                <c:pt idx="9">
                  <c:v>Spinergie Fleet</c:v>
                </c:pt>
                <c:pt idx="10">
                  <c:v>Nautilus Log</c:v>
                </c:pt>
              </c:strCache>
            </c:strRef>
          </c:cat>
          <c:val>
            <c:numRef>
              <c:f>Summary!$O$3:$O$13</c:f>
              <c:numCache>
                <c:formatCode>General</c:formatCode>
                <c:ptCount val="11"/>
                <c:pt idx="0">
                  <c:v>3072</c:v>
                </c:pt>
                <c:pt idx="1">
                  <c:v>1479</c:v>
                </c:pt>
                <c:pt idx="2">
                  <c:v>0</c:v>
                </c:pt>
                <c:pt idx="4">
                  <c:v>168</c:v>
                </c:pt>
                <c:pt idx="5">
                  <c:v>208</c:v>
                </c:pt>
                <c:pt idx="6">
                  <c:v>85</c:v>
                </c:pt>
                <c:pt idx="7">
                  <c:v>0</c:v>
                </c:pt>
                <c:pt idx="8">
                  <c:v>150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0DD-4F8A-9AB9-303950EFB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7"/>
      </c:doughnutChart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egendEntry>
        <c:idx val="7"/>
        <c:delete val="1"/>
      </c:legendEntry>
      <c:layout>
        <c:manualLayout>
          <c:xMode val="edge"/>
          <c:yMode val="edge"/>
          <c:x val="0.72091266204771109"/>
          <c:y val="0.3306463254593176"/>
          <c:w val="0.19184840583451662"/>
          <c:h val="0.53599081364829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Best Vessels - Sustainability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40965025580204"/>
          <c:y val="0.16530365017500936"/>
          <c:w val="0.83218564392272532"/>
          <c:h val="0.55485614982232356"/>
        </c:manualLayout>
      </c:layout>
      <c:bar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A7-4566-8DB9-4264067E5BC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A7-4566-8DB9-4264067E5BC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A7-4566-8DB9-4264067E5BCB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A7-4566-8DB9-4264067E5BC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8A7-4566-8DB9-4264067E5BCB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8A7-4566-8DB9-4264067E5BCB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8A7-4566-8DB9-4264067E5BCB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8A7-4566-8DB9-4264067E5BCB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8A7-4566-8DB9-4264067E5BCB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8A7-4566-8DB9-4264067E5BCB}"/>
              </c:ext>
            </c:extLst>
          </c:dPt>
          <c:cat>
            <c:strRef>
              <c:f>Summary!$E$99:$E$108</c:f>
              <c:strCache>
                <c:ptCount val="10"/>
                <c:pt idx="0">
                  <c:v>BOS Princess</c:v>
                </c:pt>
                <c:pt idx="1">
                  <c:v>Britoil Defiance</c:v>
                </c:pt>
                <c:pt idx="2">
                  <c:v>Britoil 81</c:v>
                </c:pt>
                <c:pt idx="3">
                  <c:v>Britoil Journey</c:v>
                </c:pt>
                <c:pt idx="4">
                  <c:v>Britoil 72</c:v>
                </c:pt>
                <c:pt idx="5">
                  <c:v>BOS Champion</c:v>
                </c:pt>
                <c:pt idx="6">
                  <c:v>BOS Prince</c:v>
                </c:pt>
                <c:pt idx="7">
                  <c:v>BOS Ares</c:v>
                </c:pt>
                <c:pt idx="8">
                  <c:v>BOS Prudence</c:v>
                </c:pt>
                <c:pt idx="9">
                  <c:v>Britoil Justice</c:v>
                </c:pt>
              </c:strCache>
            </c:strRef>
          </c:cat>
          <c:val>
            <c:numRef>
              <c:f>Summary!$I$99:$I$108</c:f>
              <c:numCache>
                <c:formatCode>0.00</c:formatCode>
                <c:ptCount val="10"/>
                <c:pt idx="0" formatCode="General">
                  <c:v>100</c:v>
                </c:pt>
                <c:pt idx="1">
                  <c:v>134.81424522737407</c:v>
                </c:pt>
                <c:pt idx="2" formatCode="General">
                  <c:v>100.21664275503811</c:v>
                </c:pt>
                <c:pt idx="3" formatCode="General">
                  <c:v>88.829010989010982</c:v>
                </c:pt>
                <c:pt idx="4" formatCode="General">
                  <c:v>88.572715274252587</c:v>
                </c:pt>
                <c:pt idx="5" formatCode="General">
                  <c:v>87.255382971246092</c:v>
                </c:pt>
                <c:pt idx="6" formatCode="General">
                  <c:v>75.370549450549447</c:v>
                </c:pt>
                <c:pt idx="7" formatCode="General">
                  <c:v>70.23969155960927</c:v>
                </c:pt>
                <c:pt idx="8" formatCode="General">
                  <c:v>62.474038148124549</c:v>
                </c:pt>
                <c:pt idx="9" formatCode="General">
                  <c:v>69.167472527472526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8A7-4566-8DB9-4264067E5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34592208"/>
        <c:axId val="34576368"/>
      </c:barChart>
      <c:catAx>
        <c:axId val="3459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6368"/>
        <c:crosses val="autoZero"/>
        <c:auto val="1"/>
        <c:lblAlgn val="ctr"/>
        <c:lblOffset val="100"/>
        <c:noMultiLvlLbl val="0"/>
      </c:catAx>
      <c:valAx>
        <c:axId val="3457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220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Installations</a:t>
            </a:r>
            <a:r>
              <a:rPr lang="en-SG" baseline="0"/>
              <a:t> Progress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48-4450-B2D7-A0258CA4356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510-49BC-A1E2-64F2A874BE68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10-49BC-A1E2-64F2A874BE6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48-4450-B2D7-A0258CA4356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510-49BC-A1E2-64F2A874BE68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510-49BC-A1E2-64F2A874BE68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848-4450-B2D7-A0258CA4356E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848-4450-B2D7-A0258CA4356E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848-4450-B2D7-A0258CA4356E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10-49BC-A1E2-64F2A874BE68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510-49BC-A1E2-64F2A874BE68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7A51-44AD-962D-AEA2BFB6B6DE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820F-4CB2-A0EE-60A01FC92D4B}"/>
              </c:ext>
            </c:extLst>
          </c:dPt>
          <c:dPt>
            <c:idx val="1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84E9-41B9-93E4-E2CC8471C363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84E9-41B9-93E4-E2CC8471C363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84E9-41B9-93E4-E2CC8471C363}"/>
              </c:ext>
            </c:extLst>
          </c:dPt>
          <c:dLbls>
            <c:dLbl>
              <c:idx val="1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4E9-41B9-93E4-E2CC8471C3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Summary!$Q$3:$Q$18</c:f>
              <c:strCache>
                <c:ptCount val="16"/>
                <c:pt idx="0">
                  <c:v>MGPS</c:v>
                </c:pt>
                <c:pt idx="1">
                  <c:v>EFMS</c:v>
                </c:pt>
                <c:pt idx="2">
                  <c:v>IWTM Filter</c:v>
                </c:pt>
                <c:pt idx="4">
                  <c:v>CMCE LP</c:v>
                </c:pt>
                <c:pt idx="5">
                  <c:v>LED lights</c:v>
                </c:pt>
                <c:pt idx="6">
                  <c:v>Chlorinator</c:v>
                </c:pt>
                <c:pt idx="7">
                  <c:v>Deva Paint</c:v>
                </c:pt>
                <c:pt idx="8">
                  <c:v>AI CCTV</c:v>
                </c:pt>
                <c:pt idx="9">
                  <c:v>Spinergie Fleet</c:v>
                </c:pt>
                <c:pt idx="10">
                  <c:v>Nautilus Log</c:v>
                </c:pt>
                <c:pt idx="11">
                  <c:v>RE Conversion</c:v>
                </c:pt>
                <c:pt idx="12">
                  <c:v>Silicon Paint</c:v>
                </c:pt>
                <c:pt idx="13">
                  <c:v>Shore Generator</c:v>
                </c:pt>
                <c:pt idx="14">
                  <c:v>IOW Separator</c:v>
                </c:pt>
                <c:pt idx="15">
                  <c:v>Average</c:v>
                </c:pt>
              </c:strCache>
            </c:strRef>
          </c:cat>
          <c:val>
            <c:numRef>
              <c:f>Summary!$R$3:$R$18</c:f>
              <c:numCache>
                <c:formatCode>0%</c:formatCode>
                <c:ptCount val="16"/>
                <c:pt idx="0">
                  <c:v>0.73134328358208955</c:v>
                </c:pt>
                <c:pt idx="1">
                  <c:v>0.25714285714285712</c:v>
                </c:pt>
                <c:pt idx="2">
                  <c:v>0.95454545454545459</c:v>
                </c:pt>
                <c:pt idx="4">
                  <c:v>0.28888888888888886</c:v>
                </c:pt>
                <c:pt idx="5">
                  <c:v>0.4</c:v>
                </c:pt>
                <c:pt idx="6">
                  <c:v>1</c:v>
                </c:pt>
                <c:pt idx="7">
                  <c:v>1.3888888888888888E-2</c:v>
                </c:pt>
                <c:pt idx="8">
                  <c:v>0.5</c:v>
                </c:pt>
                <c:pt idx="10">
                  <c:v>0.97222222222222221</c:v>
                </c:pt>
                <c:pt idx="11">
                  <c:v>1</c:v>
                </c:pt>
                <c:pt idx="14">
                  <c:v>1</c:v>
                </c:pt>
                <c:pt idx="15">
                  <c:v>0.64709378138821827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0-49BC-A1E2-64F2A874B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257856"/>
        <c:axId val="46258336"/>
      </c:barChart>
      <c:catAx>
        <c:axId val="46257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8336"/>
        <c:crosses val="autoZero"/>
        <c:auto val="1"/>
        <c:lblAlgn val="ctr"/>
        <c:lblOffset val="100"/>
        <c:noMultiLvlLbl val="0"/>
      </c:catAx>
      <c:valAx>
        <c:axId val="462583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5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Track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41111111111112"/>
          <c:y val="0.18793263090676884"/>
          <c:w val="0.7836957264957265"/>
          <c:h val="0.6149843248760571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Summary!$T$2</c:f>
              <c:strCache>
                <c:ptCount val="1"/>
                <c:pt idx="0">
                  <c:v>Installed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Summary!$T$3:$T$5</c:f>
              <c:numCache>
                <c:formatCode>General</c:formatCode>
                <c:ptCount val="3"/>
                <c:pt idx="0">
                  <c:v>218</c:v>
                </c:pt>
                <c:pt idx="1">
                  <c:v>0</c:v>
                </c:pt>
                <c:pt idx="2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8-4BBF-BD31-E742E5A801BE}"/>
            </c:ext>
          </c:extLst>
        </c:ser>
        <c:ser>
          <c:idx val="1"/>
          <c:order val="1"/>
          <c:tx>
            <c:strRef>
              <c:f>Summary!$U$2</c:f>
              <c:strCache>
                <c:ptCount val="1"/>
                <c:pt idx="0">
                  <c:v>In Progress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Summary!$U$3:$U$5</c:f>
              <c:numCache>
                <c:formatCode>General</c:formatCode>
                <c:ptCount val="3"/>
                <c:pt idx="0">
                  <c:v>26</c:v>
                </c:pt>
                <c:pt idx="1">
                  <c:v>0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8-4BBF-BD31-E742E5A801BE}"/>
            </c:ext>
          </c:extLst>
        </c:ser>
        <c:ser>
          <c:idx val="2"/>
          <c:order val="2"/>
          <c:tx>
            <c:strRef>
              <c:f>Summary!$V$2</c:f>
              <c:strCache>
                <c:ptCount val="1"/>
                <c:pt idx="0">
                  <c:v>Missing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Summary!$V$3:$V$5</c:f>
              <c:numCache>
                <c:formatCode>General</c:formatCode>
                <c:ptCount val="3"/>
                <c:pt idx="0">
                  <c:v>306</c:v>
                </c:pt>
                <c:pt idx="1">
                  <c:v>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8-4BBF-BD31-E742E5A801BE}"/>
            </c:ext>
          </c:extLst>
        </c:ser>
        <c:ser>
          <c:idx val="3"/>
          <c:order val="3"/>
          <c:tx>
            <c:strRef>
              <c:f>Summary!$W$2</c:f>
              <c:strCache>
                <c:ptCount val="1"/>
                <c:pt idx="0">
                  <c:v>Needed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Summary!$W$3:$W$5</c:f>
              <c:numCache>
                <c:formatCode>General</c:formatCode>
                <c:ptCount val="3"/>
                <c:pt idx="0">
                  <c:v>0</c:v>
                </c:pt>
                <c:pt idx="1">
                  <c:v>550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8-4BBF-BD31-E742E5A801BE}"/>
            </c:ext>
          </c:extLst>
        </c:ser>
        <c:ser>
          <c:idx val="4"/>
          <c:order val="4"/>
          <c:tx>
            <c:strRef>
              <c:f>Summary!$X$2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Summary!$S$3:$S$5</c:f>
              <c:strCache>
                <c:ptCount val="3"/>
                <c:pt idx="0">
                  <c:v>Current 2025</c:v>
                </c:pt>
                <c:pt idx="1">
                  <c:v>Needed</c:v>
                </c:pt>
                <c:pt idx="2">
                  <c:v>Goal 2026</c:v>
                </c:pt>
              </c:strCache>
            </c:strRef>
          </c:cat>
          <c:val>
            <c:numRef>
              <c:f>Summary!$S$3:$S$5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28-4BBF-BD31-E742E5A80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6850607"/>
        <c:axId val="226852047"/>
      </c:barChart>
      <c:catAx>
        <c:axId val="22685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52047"/>
        <c:crosses val="autoZero"/>
        <c:auto val="1"/>
        <c:lblAlgn val="ctr"/>
        <c:lblOffset val="100"/>
        <c:noMultiLvlLbl val="0"/>
      </c:catAx>
      <c:valAx>
        <c:axId val="226852047"/>
        <c:scaling>
          <c:orientation val="minMax"/>
          <c:max val="375"/>
          <c:min val="0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850607"/>
        <c:crosses val="autoZero"/>
        <c:crossBetween val="between"/>
        <c:majorUnit val="75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2106705</xdr:colOff>
      <xdr:row>4</xdr:row>
      <xdr:rowOff>115234</xdr:rowOff>
    </xdr:from>
    <xdr:to>
      <xdr:col>5</xdr:col>
      <xdr:colOff>168088</xdr:colOff>
      <xdr:row>5</xdr:row>
      <xdr:rowOff>123265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E3FB68C-163C-95F0-1858-CEAC7E9B2A44}"/>
            </a:ext>
          </a:extLst>
        </xdr:cNvPr>
        <xdr:cNvSpPr/>
      </xdr:nvSpPr>
      <xdr:spPr>
        <a:xfrm>
          <a:off x="6611470" y="1146175"/>
          <a:ext cx="302559" cy="265766"/>
        </a:xfrm>
        <a:prstGeom prst="rightArrow">
          <a:avLst/>
        </a:prstGeom>
        <a:solidFill>
          <a:schemeClr val="accent5">
            <a:lumMod val="20000"/>
            <a:lumOff val="80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6</xdr:col>
      <xdr:colOff>1411941</xdr:colOff>
      <xdr:row>4</xdr:row>
      <xdr:rowOff>115234</xdr:rowOff>
    </xdr:from>
    <xdr:to>
      <xdr:col>7</xdr:col>
      <xdr:colOff>184150</xdr:colOff>
      <xdr:row>5</xdr:row>
      <xdr:rowOff>171824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15B7FAB-EB73-4C41-99F1-120E83BE210E}"/>
            </a:ext>
          </a:extLst>
        </xdr:cNvPr>
        <xdr:cNvSpPr/>
      </xdr:nvSpPr>
      <xdr:spPr>
        <a:xfrm>
          <a:off x="9734176" y="1131234"/>
          <a:ext cx="311150" cy="310590"/>
        </a:xfrm>
        <a:prstGeom prst="rightArrow">
          <a:avLst/>
        </a:prstGeom>
        <a:solidFill>
          <a:schemeClr val="accent5">
            <a:lumMod val="20000"/>
            <a:lumOff val="80000"/>
          </a:schemeClr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754063</xdr:colOff>
      <xdr:row>18</xdr:row>
      <xdr:rowOff>19049</xdr:rowOff>
    </xdr:from>
    <xdr:to>
      <xdr:col>13</xdr:col>
      <xdr:colOff>438150</xdr:colOff>
      <xdr:row>25</xdr:row>
      <xdr:rowOff>296861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9B1868-B047-7143-39B5-3557EFA01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796925</xdr:colOff>
      <xdr:row>26</xdr:row>
      <xdr:rowOff>69850</xdr:rowOff>
    </xdr:from>
    <xdr:to>
      <xdr:col>13</xdr:col>
      <xdr:colOff>479475</xdr:colOff>
      <xdr:row>34</xdr:row>
      <xdr:rowOff>273050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AEC6E2-2002-8B4E-201A-50A154D3D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790575</xdr:colOff>
      <xdr:row>35</xdr:row>
      <xdr:rowOff>50800</xdr:rowOff>
    </xdr:from>
    <xdr:to>
      <xdr:col>13</xdr:col>
      <xdr:colOff>473125</xdr:colOff>
      <xdr:row>43</xdr:row>
      <xdr:rowOff>254000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3346CA-0F9A-19B7-369B-A96600596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85724</xdr:colOff>
      <xdr:row>26</xdr:row>
      <xdr:rowOff>19050</xdr:rowOff>
    </xdr:from>
    <xdr:to>
      <xdr:col>26</xdr:col>
      <xdr:colOff>498524</xdr:colOff>
      <xdr:row>34</xdr:row>
      <xdr:rowOff>222250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A751E5-8FBE-7EEF-8E2F-0502F9D0A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476250</xdr:colOff>
      <xdr:row>35</xdr:row>
      <xdr:rowOff>82550</xdr:rowOff>
    </xdr:from>
    <xdr:to>
      <xdr:col>21</xdr:col>
      <xdr:colOff>355650</xdr:colOff>
      <xdr:row>43</xdr:row>
      <xdr:rowOff>285750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E1D0E3-2897-488B-8886-A7808D3B2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514350</xdr:colOff>
      <xdr:row>18</xdr:row>
      <xdr:rowOff>19050</xdr:rowOff>
    </xdr:from>
    <xdr:to>
      <xdr:col>20</xdr:col>
      <xdr:colOff>393750</xdr:colOff>
      <xdr:row>25</xdr:row>
      <xdr:rowOff>296862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5917D5-7642-4D35-80F3-8FBCB1300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21</xdr:col>
      <xdr:colOff>584282</xdr:colOff>
      <xdr:row>19</xdr:row>
      <xdr:rowOff>29161</xdr:rowOff>
    </xdr:from>
    <xdr:to>
      <xdr:col>22</xdr:col>
      <xdr:colOff>238230</xdr:colOff>
      <xdr:row>19</xdr:row>
      <xdr:rowOff>286359</xdr:rowOff>
    </xdr:to>
    <xdr:pic>
      <xdr:nvPicPr>
        <xdr:cNvPr id="12" name="Graphic 11" descr="Crown with solid fill">
          <a:extLst>
            <a:ext uri="{FF2B5EF4-FFF2-40B4-BE49-F238E27FC236}">
              <a16:creationId xmlns:a16="http://schemas.microsoft.com/office/drawing/2014/main" id="{4974C0A3-15A1-F1EC-E2D8-0C442CD80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9951782" y="4474161"/>
          <a:ext cx="257198" cy="257198"/>
        </a:xfrm>
        <a:prstGeom prst="rect">
          <a:avLst/>
        </a:prstGeom>
      </xdr:spPr>
    </xdr:pic>
    <xdr:clientData/>
  </xdr:twoCellAnchor>
  <xdr:twoCellAnchor>
    <xdr:from>
      <xdr:col>6</xdr:col>
      <xdr:colOff>809624</xdr:colOff>
      <xdr:row>44</xdr:row>
      <xdr:rowOff>133350</xdr:rowOff>
    </xdr:from>
    <xdr:to>
      <xdr:col>13</xdr:col>
      <xdr:colOff>492174</xdr:colOff>
      <xdr:row>54</xdr:row>
      <xdr:rowOff>90350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26028BC-C42D-7CE7-C94F-606CA6CEC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600074</xdr:colOff>
      <xdr:row>44</xdr:row>
      <xdr:rowOff>139700</xdr:rowOff>
    </xdr:from>
    <xdr:to>
      <xdr:col>20</xdr:col>
      <xdr:colOff>479474</xdr:colOff>
      <xdr:row>54</xdr:row>
      <xdr:rowOff>96700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D51C8C-3A27-2DDA-1541-C0F0409FC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0.31223</cdr:x>
      <cdr:y>0.50231</cdr:y>
    </cdr:from>
    <cdr:to>
      <cdr:x>0.47648</cdr:x>
      <cdr:y>0.625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81B3E1C-34D5-C985-51E2-356020FC0854}"/>
            </a:ext>
          </a:extLst>
        </cdr:cNvPr>
        <cdr:cNvSpPr txBox="1"/>
      </cdr:nvSpPr>
      <cdr:spPr>
        <a:xfrm xmlns:a="http://schemas.openxmlformats.org/drawingml/2006/main">
          <a:off x="1158875" y="1377950"/>
          <a:ext cx="609600" cy="3365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0.3377</cdr:x>
      <cdr:y>0.4838</cdr:y>
    </cdr:from>
    <cdr:to>
      <cdr:x>0.48066</cdr:x>
      <cdr:y>0.63426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67BA392-5609-F672-B3F2-2DC2C1AE1DB2}"/>
            </a:ext>
          </a:extLst>
        </cdr:cNvPr>
        <cdr:cNvSpPr txBox="1"/>
      </cdr:nvSpPr>
      <cdr:spPr>
        <a:xfrm xmlns:a="http://schemas.openxmlformats.org/drawingml/2006/main">
          <a:off x="1635125" y="1327150"/>
          <a:ext cx="692150" cy="412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SG" sz="1100" b="1" kern="1200">
              <a:solidFill>
                <a:srgbClr val="00823B"/>
              </a:solidFill>
            </a:rPr>
            <a:t>1.03 M$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0.34164</cdr:x>
      <cdr:y>0.52778</cdr:y>
    </cdr:from>
    <cdr:to>
      <cdr:x>0.49377</cdr:x>
      <cdr:y>0.65278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E38F8B-840C-3437-AF96-7FFF9ABC528A}"/>
            </a:ext>
          </a:extLst>
        </cdr:cNvPr>
        <cdr:cNvSpPr txBox="1"/>
      </cdr:nvSpPr>
      <cdr:spPr>
        <a:xfrm xmlns:a="http://schemas.openxmlformats.org/drawingml/2006/main">
          <a:off x="1654175" y="1447800"/>
          <a:ext cx="7366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0.3482</cdr:x>
      <cdr:y>0.52315</cdr:y>
    </cdr:from>
    <cdr:to>
      <cdr:x>0.50295</cdr:x>
      <cdr:y>0.6412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D4C9479-0324-B6DF-8BB3-BBDACB948982}"/>
            </a:ext>
          </a:extLst>
        </cdr:cNvPr>
        <cdr:cNvSpPr txBox="1"/>
      </cdr:nvSpPr>
      <cdr:spPr>
        <a:xfrm xmlns:a="http://schemas.openxmlformats.org/drawingml/2006/main">
          <a:off x="1685925" y="1435100"/>
          <a:ext cx="7493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0.03082</cdr:x>
      <cdr:y>0.19444</cdr:y>
    </cdr:from>
    <cdr:to>
      <cdr:x>0.18426</cdr:x>
      <cdr:y>0.40046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6C4A6C4-C2C3-906E-DE1D-7D2B0F14AB37}"/>
            </a:ext>
          </a:extLst>
        </cdr:cNvPr>
        <cdr:cNvSpPr txBox="1"/>
      </cdr:nvSpPr>
      <cdr:spPr>
        <a:xfrm xmlns:a="http://schemas.openxmlformats.org/drawingml/2006/main">
          <a:off x="149225" y="533400"/>
          <a:ext cx="742950" cy="565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0.07148</cdr:x>
      <cdr:y>0.11111</cdr:y>
    </cdr:from>
    <cdr:to>
      <cdr:x>0.24852</cdr:x>
      <cdr:y>0.28935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1DC08F6-2A67-5EAB-7A07-D03321D25977}"/>
            </a:ext>
          </a:extLst>
        </cdr:cNvPr>
        <cdr:cNvSpPr txBox="1"/>
      </cdr:nvSpPr>
      <cdr:spPr>
        <a:xfrm xmlns:a="http://schemas.openxmlformats.org/drawingml/2006/main">
          <a:off x="346075" y="304800"/>
          <a:ext cx="857250" cy="488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0.35344</cdr:x>
      <cdr:y>0.51389</cdr:y>
    </cdr:from>
    <cdr:to>
      <cdr:x>0.54492</cdr:x>
      <cdr:y>0.70602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0E1BA29-921B-F557-0D2F-05F8569F5FDB}"/>
            </a:ext>
          </a:extLst>
        </cdr:cNvPr>
        <cdr:cNvSpPr txBox="1"/>
      </cdr:nvSpPr>
      <cdr:spPr>
        <a:xfrm xmlns:a="http://schemas.openxmlformats.org/drawingml/2006/main">
          <a:off x="1711325" y="1409700"/>
          <a:ext cx="927100" cy="527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SG" sz="1100" b="1">
              <a:solidFill>
                <a:srgbClr val="00823B"/>
              </a:solidFill>
              <a:effectLst/>
              <a:latin typeface="+mn-lt"/>
              <a:ea typeface="+mn-ea"/>
              <a:cs typeface="+mn-cs"/>
            </a:rPr>
            <a:t>1.03 M$</a:t>
          </a:r>
          <a:endParaRPr lang="en-SG" b="1">
            <a:solidFill>
              <a:srgbClr val="00823B"/>
            </a:solidFill>
            <a:effectLst/>
          </a:endParaRPr>
        </a:p>
        <a:p xmlns:a="http://schemas.openxmlformats.org/drawingml/2006/main">
          <a:endParaRPr lang="en-SG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0.34164</cdr:x>
      <cdr:y>0.52778</cdr:y>
    </cdr:from>
    <cdr:to>
      <cdr:x>0.49377</cdr:x>
      <cdr:y>0.65278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2E38F8B-840C-3437-AF96-7FFF9ABC528A}"/>
            </a:ext>
          </a:extLst>
        </cdr:cNvPr>
        <cdr:cNvSpPr txBox="1"/>
      </cdr:nvSpPr>
      <cdr:spPr>
        <a:xfrm xmlns:a="http://schemas.openxmlformats.org/drawingml/2006/main">
          <a:off x="1654175" y="1447800"/>
          <a:ext cx="7366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0.3482</cdr:x>
      <cdr:y>0.52315</cdr:y>
    </cdr:from>
    <cdr:to>
      <cdr:x>0.50295</cdr:x>
      <cdr:y>0.6412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D4C9479-0324-B6DF-8BB3-BBDACB948982}"/>
            </a:ext>
          </a:extLst>
        </cdr:cNvPr>
        <cdr:cNvSpPr txBox="1"/>
      </cdr:nvSpPr>
      <cdr:spPr>
        <a:xfrm xmlns:a="http://schemas.openxmlformats.org/drawingml/2006/main">
          <a:off x="1685925" y="1435100"/>
          <a:ext cx="7493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0.03082</cdr:x>
      <cdr:y>0.19444</cdr:y>
    </cdr:from>
    <cdr:to>
      <cdr:x>0.18426</cdr:x>
      <cdr:y>0.40046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66C4A6C4-C2C3-906E-DE1D-7D2B0F14AB37}"/>
            </a:ext>
          </a:extLst>
        </cdr:cNvPr>
        <cdr:cNvSpPr txBox="1"/>
      </cdr:nvSpPr>
      <cdr:spPr>
        <a:xfrm xmlns:a="http://schemas.openxmlformats.org/drawingml/2006/main">
          <a:off x="149225" y="533400"/>
          <a:ext cx="742950" cy="565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0.07148</cdr:x>
      <cdr:y>0.11111</cdr:y>
    </cdr:from>
    <cdr:to>
      <cdr:x>0.24852</cdr:x>
      <cdr:y>0.28935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1DC08F6-2A67-5EAB-7A07-D03321D25977}"/>
            </a:ext>
          </a:extLst>
        </cdr:cNvPr>
        <cdr:cNvSpPr txBox="1"/>
      </cdr:nvSpPr>
      <cdr:spPr>
        <a:xfrm xmlns:a="http://schemas.openxmlformats.org/drawingml/2006/main">
          <a:off x="346075" y="304800"/>
          <a:ext cx="857250" cy="488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SG" sz="1100" kern="1200"/>
        </a:p>
      </cdr:txBody>
    </cdr:sp>
  </cdr:relSizeAnchor>
  <cdr:relSizeAnchor xmlns:cdr="http://schemas.openxmlformats.org/drawingml/2006/chartDrawing">
    <cdr:from>
      <cdr:x>0.35344</cdr:x>
      <cdr:y>0.51389</cdr:y>
    </cdr:from>
    <cdr:to>
      <cdr:x>0.54492</cdr:x>
      <cdr:y>0.70602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0E1BA29-921B-F557-0D2F-05F8569F5FDB}"/>
            </a:ext>
          </a:extLst>
        </cdr:cNvPr>
        <cdr:cNvSpPr txBox="1"/>
      </cdr:nvSpPr>
      <cdr:spPr>
        <a:xfrm xmlns:a="http://schemas.openxmlformats.org/drawingml/2006/main">
          <a:off x="1711325" y="1409700"/>
          <a:ext cx="927100" cy="527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SG" sz="1100" b="1">
              <a:solidFill>
                <a:srgbClr val="00823B"/>
              </a:solidFill>
              <a:effectLst/>
              <a:latin typeface="+mn-lt"/>
              <a:ea typeface="+mn-ea"/>
              <a:cs typeface="+mn-cs"/>
            </a:rPr>
            <a:t>1.03 M$</a:t>
          </a:r>
          <a:endParaRPr lang="en-SG" b="1">
            <a:solidFill>
              <a:srgbClr val="00823B"/>
            </a:solidFill>
            <a:effectLst/>
          </a:endParaRPr>
        </a:p>
        <a:p xmlns:a="http://schemas.openxmlformats.org/drawingml/2006/main">
          <a:endParaRPr lang="en-SG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0.12212</cdr:x>
      <cdr:y>0.0795</cdr:y>
    </cdr:from>
    <cdr:to>
      <cdr:x>0.17707</cdr:x>
      <cdr:y>0.15803</cdr:y>
    </cdr:to>
    <cdr:pic>
      <cdr:nvPicPr>
        <cdr:cNvPr id="2" name="Graphic 11" descr="Crown with solid fill">
          <a:extLst xmlns:a="http://schemas.openxmlformats.org/drawingml/2006/main">
            <a:ext uri="{FF2B5EF4-FFF2-40B4-BE49-F238E27FC236}">
              <a16:creationId xmlns:a16="http://schemas.microsoft.com/office/drawing/2014/main" id="{4974C0A3-15A1-F1EC-E2D8-0C442CD80DA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71500" y="260350"/>
          <a:ext cx="257198" cy="257198"/>
        </a:xfrm>
        <a:prstGeom xmlns:a="http://schemas.openxmlformats.org/drawingml/2006/main" prst="rect">
          <a:avLst/>
        </a:prstGeom>
      </cdr:spPr>
    </cdr:pic>
  </cdr:relSizeAnchor>
</c:userShape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xel Faurax" id="{070FDAC7-D120-4608-81DC-07A9FB988201}" userId="S::axel.faurax@britoil.com.sg::1232e96e-c149-4e75-ba32-e7d47ac8dcbc" providerId="AD"/>
  <person displayName="Mohit Sabharwal" id="{AD57B11D-29D0-4A4E-B576-6E87DB65E71F}" userId="S::mohit.sabharwal@britoil.com.sg::8d78ad13-8bfd-4f04-b71d-b8573f8d7faf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Leaf with solid fill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0" dT="2024-08-21T02:52:10.83" personId="{AD57B11D-29D0-4A4E-B576-6E87DB65E71F}" id="{8E5F7F15-346C-49D5-99C0-81E4379D7D9A}">
    <text xml:space="preserve">B120/121 is not used for the purpose of DP 2 so it not required. Please check with Siva which of his vessels are not used as DP2 in Thailand exclude those as well for lighting deterrence </text>
  </threadedComment>
  <threadedComment ref="D110" dT="2024-08-21T02:52:45.23" personId="{AD57B11D-29D0-4A4E-B576-6E87DB65E71F}" id="{2D3B89BF-782A-4F64-A097-32541DB1CE4B}" parentId="{8E5F7F15-346C-49D5-99C0-81E4379D7D9A}">
    <text xml:space="preserve">Also removed failed as drop down menu 
</text>
  </threadedComment>
  <threadedComment ref="D110" dT="2024-08-21T03:35:03.35" personId="{070FDAC7-D120-4608-81DC-07A9FB988201}" id="{4D0DC0F6-16B6-47D0-BECA-69F0E5DFF231}" parentId="{8E5F7F15-346C-49D5-99C0-81E4379D7D9A}">
    <text xml:space="preserve">Ah yes you are right, i forgot his email. Thanks
</text>
  </threadedComment>
  <threadedComment ref="D110" dT="2024-08-21T03:48:06.10" personId="{070FDAC7-D120-4608-81DC-07A9FB988201}" id="{CA4574D6-5BEA-4B07-BFF7-AECA51D69121}" parentId="{8E5F7F15-346C-49D5-99C0-81E4379D7D9A}">
    <text xml:space="preserve">Ares / Athenna DP2 in Thailand  i Think
</text>
  </threadedComment>
  <threadedComment ref="D110" dT="2024-08-21T03:58:08.31" personId="{070FDAC7-D120-4608-81DC-07A9FB988201}" id="{C968A1F4-E5DC-4F70-9B24-2B5F6D934B81}" parentId="{8E5F7F15-346C-49D5-99C0-81E4379D7D9A}">
    <text xml:space="preserve">Okay for the 2 C class and 4 A class on Thailand i remove for lightning 
deterence  </text>
  </threadedComment>
  <threadedComment ref="D110" dT="2024-08-21T04:48:43.79" personId="{AD57B11D-29D0-4A4E-B576-6E87DB65E71F}" id="{0C9C5DDF-FC6B-4E30-B70F-526D6CD061F3}" parentId="{8E5F7F15-346C-49D5-99C0-81E4379D7D9A}">
    <text xml:space="preserve">ok 
</text>
  </threadedComment>
  <threadedComment ref="D110" dT="2024-08-21T04:53:53.73" personId="{AD57B11D-29D0-4A4E-B576-6E87DB65E71F}" id="{8ECA4A5C-67C0-404E-A2D8-948A5D99576A}" parentId="{8E5F7F15-346C-49D5-99C0-81E4379D7D9A}">
    <text xml:space="preserve">This sheet then can be send to Alessandro , Siva and Vinayak for them to take action. 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F919B4-4F44-4E6D-837D-066812AA4416}">
  <we:reference id="wa104199815" version="1.0.0.1" store="en-US" storeType="OMEX"/>
  <we:alternateReferences>
    <we:reference id="wa104199815" version="1.0.0.1" store="wa1041998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cr.britoil60@ship.britoil.com.sg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47"/>
  <sheetViews>
    <sheetView zoomScale="60" zoomScaleNormal="60" workbookViewId="0">
      <selection activeCell="H15" sqref="H15"/>
    </sheetView>
  </sheetViews>
  <sheetFormatPr defaultColWidth="8.7265625" defaultRowHeight="20.149999999999999" customHeight="1" outlineLevelRow="1" x14ac:dyDescent="0.35"/>
  <cols>
    <col min="1" max="1" width="8.7265625" style="8"/>
    <col min="2" max="2" width="13.7265625" style="1" customWidth="1"/>
    <col min="3" max="3" width="25.81640625" style="1" customWidth="1"/>
    <col min="4" max="4" width="16.1796875" style="1" customWidth="1"/>
    <col min="5" max="5" width="32" style="1" customWidth="1"/>
    <col min="6" max="6" width="22.7265625" style="1" customWidth="1"/>
    <col min="7" max="7" width="22" style="12" customWidth="1"/>
    <col min="8" max="8" width="33.36328125" style="1" customWidth="1"/>
    <col min="9" max="9" width="32.90625" style="1" customWidth="1"/>
    <col min="10" max="10" width="24.81640625" style="54" customWidth="1"/>
    <col min="11" max="11" width="42.54296875" style="10" customWidth="1"/>
    <col min="12" max="12" width="58.1796875" style="8" customWidth="1"/>
    <col min="13" max="20" width="8.7265625" style="8"/>
    <col min="21" max="21" width="20.7265625" style="8" customWidth="1"/>
    <col min="22" max="22" width="10.81640625" style="8" customWidth="1"/>
    <col min="23" max="23" width="21.81640625" style="8" customWidth="1"/>
    <col min="24" max="24" width="8.7265625" style="8"/>
    <col min="25" max="25" width="11.453125" style="8" customWidth="1"/>
    <col min="26" max="27" width="8.7265625" style="8"/>
    <col min="28" max="28" width="27.1796875" style="8" customWidth="1"/>
    <col min="29" max="29" width="29" style="8" customWidth="1"/>
    <col min="30" max="30" width="36.453125" style="8" customWidth="1"/>
    <col min="31" max="31" width="27.54296875" style="8" customWidth="1"/>
    <col min="32" max="32" width="23.453125" style="8" customWidth="1"/>
    <col min="33" max="54" width="15.6328125" style="8" customWidth="1"/>
    <col min="55" max="16384" width="8.7265625" style="8"/>
  </cols>
  <sheetData>
    <row r="1" spans="1:43" ht="46.5" customHeight="1" thickBot="1" x14ac:dyDescent="0.4">
      <c r="B1" s="8"/>
      <c r="C1" s="8"/>
      <c r="D1" s="8"/>
      <c r="E1" s="8"/>
      <c r="F1" s="8"/>
      <c r="G1" s="11"/>
      <c r="H1" s="8"/>
      <c r="I1" s="8"/>
      <c r="J1" s="49"/>
      <c r="K1" s="9"/>
      <c r="AB1" s="155" t="s">
        <v>293</v>
      </c>
      <c r="AC1" s="156"/>
      <c r="AD1" s="156"/>
      <c r="AE1" s="157"/>
      <c r="AM1" s="155" t="s">
        <v>292</v>
      </c>
      <c r="AN1" s="156"/>
      <c r="AO1" s="156"/>
      <c r="AP1" s="157"/>
    </row>
    <row r="2" spans="1:43" ht="33.5" customHeight="1" x14ac:dyDescent="0.35">
      <c r="B2" s="166" t="s">
        <v>0</v>
      </c>
      <c r="C2" s="167"/>
      <c r="D2" s="168"/>
      <c r="E2" s="178" t="s">
        <v>130</v>
      </c>
      <c r="F2" s="179"/>
      <c r="G2" s="179"/>
      <c r="H2" s="180"/>
      <c r="I2" s="48"/>
      <c r="J2" s="50"/>
      <c r="K2" s="207" t="s">
        <v>1</v>
      </c>
      <c r="N2" s="8" t="s">
        <v>115</v>
      </c>
      <c r="O2" s="8" t="s">
        <v>116</v>
      </c>
      <c r="Q2" s="8">
        <f>2000*0.01</f>
        <v>20</v>
      </c>
      <c r="T2" s="197" t="s">
        <v>2</v>
      </c>
      <c r="U2" s="200" t="s">
        <v>3</v>
      </c>
      <c r="V2" s="200"/>
      <c r="W2" s="201"/>
      <c r="AB2" s="23" t="s">
        <v>97</v>
      </c>
      <c r="AC2" s="144" t="s">
        <v>279</v>
      </c>
      <c r="AD2" s="15" t="s">
        <v>286</v>
      </c>
      <c r="AE2" s="53" t="s">
        <v>113</v>
      </c>
      <c r="AF2" s="8" t="s">
        <v>150</v>
      </c>
      <c r="AM2" s="139" t="s">
        <v>141</v>
      </c>
      <c r="AN2" s="140" t="s">
        <v>279</v>
      </c>
      <c r="AO2" s="14" t="s">
        <v>286</v>
      </c>
      <c r="AP2" s="141" t="s">
        <v>113</v>
      </c>
      <c r="AQ2" s="8" t="s">
        <v>150</v>
      </c>
    </row>
    <row r="3" spans="1:43" ht="20.149999999999999" customHeight="1" x14ac:dyDescent="0.35">
      <c r="B3" s="169"/>
      <c r="C3" s="170"/>
      <c r="D3" s="171"/>
      <c r="E3" s="181"/>
      <c r="F3" s="182"/>
      <c r="G3" s="182"/>
      <c r="H3" s="183"/>
      <c r="I3" s="48"/>
      <c r="J3" s="50"/>
      <c r="K3" s="202"/>
      <c r="N3" s="8" t="s">
        <v>114</v>
      </c>
      <c r="O3" s="8">
        <v>3.2</v>
      </c>
      <c r="Q3" s="8">
        <f>O3*Q2</f>
        <v>64</v>
      </c>
      <c r="T3" s="198"/>
      <c r="U3" s="202"/>
      <c r="V3" s="202"/>
      <c r="W3" s="203"/>
      <c r="AB3" s="137" t="s">
        <v>13</v>
      </c>
      <c r="AC3" s="145">
        <v>11000</v>
      </c>
      <c r="AD3" s="137">
        <v>3200</v>
      </c>
      <c r="AE3" s="146">
        <v>64</v>
      </c>
      <c r="AF3" s="8">
        <v>1</v>
      </c>
      <c r="AM3" s="103" t="s">
        <v>13</v>
      </c>
      <c r="AN3" s="8">
        <v>11000</v>
      </c>
      <c r="AO3" s="8">
        <v>3200</v>
      </c>
      <c r="AP3" s="97">
        <v>64</v>
      </c>
      <c r="AQ3" s="8">
        <v>1</v>
      </c>
    </row>
    <row r="4" spans="1:43" ht="20.149999999999999" customHeight="1" x14ac:dyDescent="0.35">
      <c r="B4" s="176" t="s">
        <v>2</v>
      </c>
      <c r="C4" s="172" t="s">
        <v>129</v>
      </c>
      <c r="D4" s="173"/>
      <c r="E4" s="184" t="s">
        <v>131</v>
      </c>
      <c r="F4" s="186" t="s">
        <v>112</v>
      </c>
      <c r="G4" s="186"/>
      <c r="H4" s="188" t="s">
        <v>132</v>
      </c>
      <c r="I4" s="47"/>
      <c r="J4" s="51"/>
      <c r="K4" s="202"/>
      <c r="N4" s="8" t="s">
        <v>117</v>
      </c>
      <c r="O4" s="8">
        <v>600</v>
      </c>
      <c r="P4" s="8" t="s">
        <v>118</v>
      </c>
      <c r="R4" s="8">
        <f>8000/25</f>
        <v>320</v>
      </c>
      <c r="T4" s="198"/>
      <c r="U4" s="202"/>
      <c r="V4" s="202"/>
      <c r="W4" s="203"/>
      <c r="AB4" s="109" t="s">
        <v>93</v>
      </c>
      <c r="AC4" s="8">
        <v>15000</v>
      </c>
      <c r="AD4" s="109">
        <v>3200</v>
      </c>
      <c r="AE4" s="97">
        <f>INT($AE$3*AC4/$AC$3)</f>
        <v>87</v>
      </c>
      <c r="AF4" s="8">
        <v>1</v>
      </c>
      <c r="AM4" s="103" t="s">
        <v>93</v>
      </c>
      <c r="AN4" s="8">
        <v>0</v>
      </c>
      <c r="AO4" s="8">
        <v>3200</v>
      </c>
      <c r="AP4" s="97">
        <v>50</v>
      </c>
      <c r="AQ4" s="8">
        <v>1</v>
      </c>
    </row>
    <row r="5" spans="1:43" ht="20.149999999999999" customHeight="1" x14ac:dyDescent="0.35">
      <c r="B5" s="176"/>
      <c r="C5" s="172"/>
      <c r="D5" s="173"/>
      <c r="E5" s="184"/>
      <c r="F5" s="186"/>
      <c r="G5" s="186"/>
      <c r="H5" s="188"/>
      <c r="I5" s="47"/>
      <c r="J5" s="51"/>
      <c r="K5" s="202"/>
      <c r="T5" s="198"/>
      <c r="U5" s="202"/>
      <c r="V5" s="202"/>
      <c r="W5" s="203"/>
      <c r="AB5" s="109" t="s">
        <v>110</v>
      </c>
      <c r="AC5" s="8">
        <v>0</v>
      </c>
      <c r="AD5" s="109">
        <v>500</v>
      </c>
      <c r="AE5" s="97">
        <f t="shared" ref="AE5:AE16" si="0">INT($AE$3*AC5/$AC$3)</f>
        <v>0</v>
      </c>
      <c r="AF5" s="8">
        <v>1</v>
      </c>
      <c r="AM5" s="103" t="s">
        <v>110</v>
      </c>
      <c r="AN5" s="8">
        <v>0</v>
      </c>
      <c r="AO5" s="8">
        <v>500</v>
      </c>
      <c r="AP5" s="97">
        <v>0</v>
      </c>
      <c r="AQ5" s="8">
        <v>1</v>
      </c>
    </row>
    <row r="6" spans="1:43" ht="51" customHeight="1" thickBot="1" x14ac:dyDescent="0.4">
      <c r="B6" s="177"/>
      <c r="C6" s="174"/>
      <c r="D6" s="175"/>
      <c r="E6" s="185"/>
      <c r="F6" s="187"/>
      <c r="G6" s="187"/>
      <c r="H6" s="189"/>
      <c r="I6" s="47"/>
      <c r="J6" s="51"/>
      <c r="K6" s="202"/>
      <c r="T6" s="199"/>
      <c r="U6" s="204"/>
      <c r="V6" s="204"/>
      <c r="W6" s="205"/>
      <c r="AB6" s="109" t="s">
        <v>290</v>
      </c>
      <c r="AC6" s="8">
        <v>2500</v>
      </c>
      <c r="AD6" s="109">
        <v>5000</v>
      </c>
      <c r="AE6" s="97">
        <f t="shared" si="0"/>
        <v>14</v>
      </c>
      <c r="AF6" s="8">
        <v>1</v>
      </c>
      <c r="AM6" s="103" t="s">
        <v>14</v>
      </c>
      <c r="AN6" s="8">
        <v>2500</v>
      </c>
      <c r="AO6" s="8">
        <v>3200</v>
      </c>
      <c r="AP6" s="97">
        <v>11</v>
      </c>
      <c r="AQ6" s="8">
        <v>1</v>
      </c>
    </row>
    <row r="7" spans="1:43" ht="20.149999999999999" customHeight="1" thickBot="1" x14ac:dyDescent="0.4">
      <c r="B7" s="16"/>
      <c r="C7" s="16"/>
      <c r="D7" s="16"/>
      <c r="E7" s="16"/>
      <c r="F7" s="16"/>
      <c r="G7" s="17"/>
      <c r="H7" s="16"/>
      <c r="I7" s="16"/>
      <c r="J7" s="52"/>
      <c r="K7" s="18"/>
      <c r="M7" s="8" t="s">
        <v>283</v>
      </c>
      <c r="AB7" s="109" t="s">
        <v>14</v>
      </c>
      <c r="AC7" s="8">
        <v>1500</v>
      </c>
      <c r="AD7" s="109">
        <f>3200+3000</f>
        <v>6200</v>
      </c>
      <c r="AE7" s="97">
        <f t="shared" si="0"/>
        <v>8</v>
      </c>
      <c r="AF7" s="8">
        <v>1</v>
      </c>
      <c r="AM7" s="103" t="s">
        <v>106</v>
      </c>
      <c r="AN7" s="8">
        <v>8300</v>
      </c>
      <c r="AO7" s="8">
        <v>1000</v>
      </c>
      <c r="AP7" s="97">
        <v>45</v>
      </c>
      <c r="AQ7" s="8">
        <v>1</v>
      </c>
    </row>
    <row r="8" spans="1:43" s="13" customFormat="1" ht="43.5" customHeight="1" x14ac:dyDescent="0.35">
      <c r="B8" s="14" t="s">
        <v>4</v>
      </c>
      <c r="C8" s="14" t="s">
        <v>5</v>
      </c>
      <c r="D8" s="14" t="s">
        <v>6</v>
      </c>
      <c r="E8" s="15" t="s">
        <v>104</v>
      </c>
      <c r="F8" s="14" t="s">
        <v>7</v>
      </c>
      <c r="G8" s="33" t="s">
        <v>8</v>
      </c>
      <c r="H8" s="40" t="s">
        <v>288</v>
      </c>
      <c r="I8" s="15" t="s">
        <v>287</v>
      </c>
      <c r="J8" s="53" t="s">
        <v>113</v>
      </c>
      <c r="K8" s="15" t="s">
        <v>9</v>
      </c>
      <c r="L8" s="30" t="s">
        <v>10</v>
      </c>
      <c r="U8" s="127" t="s">
        <v>123</v>
      </c>
      <c r="V8" s="124" t="s">
        <v>137</v>
      </c>
      <c r="W8" s="124" t="s">
        <v>246</v>
      </c>
      <c r="X8" s="124"/>
      <c r="Y8" s="125" t="s">
        <v>245</v>
      </c>
      <c r="Z8" s="126"/>
      <c r="AB8" s="109" t="s">
        <v>106</v>
      </c>
      <c r="AC8" s="13">
        <v>8300</v>
      </c>
      <c r="AD8" s="147">
        <v>4000</v>
      </c>
      <c r="AE8" s="97">
        <v>85</v>
      </c>
      <c r="AF8" s="13">
        <v>1</v>
      </c>
      <c r="AM8" s="104" t="s">
        <v>282</v>
      </c>
      <c r="AN8" s="13">
        <v>16000</v>
      </c>
      <c r="AO8" s="13">
        <v>2000</v>
      </c>
      <c r="AP8" s="98">
        <v>85</v>
      </c>
      <c r="AQ8" s="13">
        <v>1</v>
      </c>
    </row>
    <row r="9" spans="1:43" ht="30" customHeight="1" x14ac:dyDescent="0.35">
      <c r="A9" s="8" t="s">
        <v>133</v>
      </c>
      <c r="B9" s="163">
        <v>1</v>
      </c>
      <c r="C9" s="163" t="s">
        <v>11</v>
      </c>
      <c r="D9" s="163" t="s">
        <v>12</v>
      </c>
      <c r="E9" s="26" t="s">
        <v>102</v>
      </c>
      <c r="F9" s="31"/>
      <c r="G9" s="34"/>
      <c r="H9" s="55" t="str">
        <f>IF(F9="Done", V9*VLOOKUP(E9, $AB$3:$AC$16, 2, FALSE), "")</f>
        <v/>
      </c>
      <c r="I9" s="55" t="str">
        <f>IF(F9="Done", V9*VLOOKUP(E9, $AB$3:$AD$16, 3, FALSE), "")</f>
        <v/>
      </c>
      <c r="J9" s="56" t="str">
        <f>IF(F9="Done", V9*VLOOKUP(E9, $AB$3:$AE$16, 4, FALSE), "")</f>
        <v/>
      </c>
      <c r="K9" s="2"/>
      <c r="L9" s="41"/>
      <c r="U9" s="119" t="str">
        <f>C9</f>
        <v>Britoil 21</v>
      </c>
      <c r="V9" s="120">
        <f>MIN(Y9/21388,1.3)</f>
        <v>0.51430708808677761</v>
      </c>
      <c r="W9" s="120">
        <f>VLOOKUP(U9, $AB$30:$AH$96, 7, FALSE)</f>
        <v>11000</v>
      </c>
      <c r="X9" s="120"/>
      <c r="Y9" s="120">
        <f>INT(VLOOKUP(U9, $AB$30:$AH$101, 7, FALSE))</f>
        <v>11000</v>
      </c>
      <c r="Z9" s="121"/>
      <c r="AB9" s="109" t="s">
        <v>109</v>
      </c>
      <c r="AC9" s="8">
        <v>16000</v>
      </c>
      <c r="AD9" s="109">
        <v>1000</v>
      </c>
      <c r="AE9" s="97">
        <f t="shared" si="0"/>
        <v>93</v>
      </c>
      <c r="AF9" s="8">
        <v>1</v>
      </c>
      <c r="AM9" s="104" t="s">
        <v>109</v>
      </c>
      <c r="AN9" s="8">
        <v>8000</v>
      </c>
      <c r="AO9" s="8">
        <v>1000</v>
      </c>
      <c r="AP9" s="98">
        <v>40</v>
      </c>
      <c r="AQ9" s="8">
        <v>1</v>
      </c>
    </row>
    <row r="10" spans="1:43" ht="25" customHeight="1" outlineLevel="1" x14ac:dyDescent="0.35">
      <c r="B10" s="164"/>
      <c r="C10" s="164"/>
      <c r="D10" s="164"/>
      <c r="E10" s="3" t="s">
        <v>106</v>
      </c>
      <c r="F10" s="31" t="s">
        <v>21</v>
      </c>
      <c r="G10" s="35"/>
      <c r="H10" s="57" t="str">
        <f t="shared" ref="H10:H73" si="1">IF(F10="Done", V10*VLOOKUP(E10, $AB$3:$AC$16, 2, FALSE), "")</f>
        <v/>
      </c>
      <c r="I10" s="57" t="str">
        <f t="shared" ref="I10:I73" si="2">IF(F10="Done", V10*VLOOKUP(E10, $AB$3:$AD$16, 3, FALSE), "")</f>
        <v/>
      </c>
      <c r="J10" s="58" t="str">
        <f t="shared" ref="J10:J73" si="3">IF(F10="Done", V10*VLOOKUP(E10, $AB$3:$AE$16, 4, FALSE), "")</f>
        <v/>
      </c>
      <c r="K10" s="3"/>
      <c r="L10" s="42"/>
      <c r="U10" s="119" t="s">
        <v>11</v>
      </c>
      <c r="V10" s="120">
        <f t="shared" ref="V10:V75" si="4">MIN(Y10/21388,1.3)</f>
        <v>0.51430708808677761</v>
      </c>
      <c r="W10" s="120">
        <v>11000</v>
      </c>
      <c r="X10" s="120"/>
      <c r="Y10" s="120">
        <f t="shared" ref="Y10:Y75" si="5">INT(VLOOKUP(U10, $AB$30:$AH$101, 7, FALSE))</f>
        <v>11000</v>
      </c>
      <c r="Z10" s="121"/>
      <c r="AB10" s="109" t="s">
        <v>280</v>
      </c>
      <c r="AC10" s="8">
        <v>0</v>
      </c>
      <c r="AD10" s="109">
        <v>4000</v>
      </c>
      <c r="AE10" s="97">
        <v>30</v>
      </c>
      <c r="AF10" s="8">
        <v>1</v>
      </c>
      <c r="AM10" s="103" t="s">
        <v>103</v>
      </c>
      <c r="AN10" s="8">
        <v>0</v>
      </c>
      <c r="AO10" s="8">
        <v>4000</v>
      </c>
      <c r="AP10" s="97">
        <v>0</v>
      </c>
      <c r="AQ10" s="8">
        <v>1</v>
      </c>
    </row>
    <row r="11" spans="1:43" ht="25" customHeight="1" outlineLevel="1" x14ac:dyDescent="0.35">
      <c r="B11" s="164"/>
      <c r="C11" s="164"/>
      <c r="D11" s="164"/>
      <c r="E11" s="3" t="s">
        <v>109</v>
      </c>
      <c r="F11" s="31" t="s">
        <v>21</v>
      </c>
      <c r="G11" s="35"/>
      <c r="H11" s="57" t="str">
        <f t="shared" si="1"/>
        <v/>
      </c>
      <c r="I11" s="57" t="str">
        <f t="shared" si="2"/>
        <v/>
      </c>
      <c r="J11" s="58" t="str">
        <f t="shared" si="3"/>
        <v/>
      </c>
      <c r="K11" s="3"/>
      <c r="L11" s="42"/>
      <c r="U11" s="119" t="s">
        <v>11</v>
      </c>
      <c r="V11" s="120">
        <f t="shared" si="4"/>
        <v>0.51430708808677761</v>
      </c>
      <c r="W11" s="120">
        <v>11000</v>
      </c>
      <c r="X11" s="120"/>
      <c r="Y11" s="120">
        <f t="shared" si="5"/>
        <v>11000</v>
      </c>
      <c r="Z11" s="121"/>
      <c r="AB11" s="109" t="s">
        <v>103</v>
      </c>
      <c r="AC11" s="8">
        <v>0</v>
      </c>
      <c r="AD11" s="109">
        <v>3000</v>
      </c>
      <c r="AE11" s="97">
        <f t="shared" si="0"/>
        <v>0</v>
      </c>
      <c r="AF11" s="8">
        <v>1</v>
      </c>
      <c r="AM11" s="105" t="s">
        <v>128</v>
      </c>
      <c r="AN11" s="16">
        <v>0</v>
      </c>
      <c r="AO11" s="16">
        <v>2000</v>
      </c>
      <c r="AP11" s="99">
        <v>0</v>
      </c>
      <c r="AQ11" s="8">
        <v>1</v>
      </c>
    </row>
    <row r="12" spans="1:43" ht="25" customHeight="1" outlineLevel="1" x14ac:dyDescent="0.35">
      <c r="B12" s="164"/>
      <c r="C12" s="164"/>
      <c r="D12" s="164"/>
      <c r="E12" s="3" t="s">
        <v>13</v>
      </c>
      <c r="F12" s="31" t="s">
        <v>32</v>
      </c>
      <c r="G12" s="35"/>
      <c r="H12" s="57" t="str">
        <f t="shared" si="1"/>
        <v/>
      </c>
      <c r="I12" s="57" t="str">
        <f t="shared" si="2"/>
        <v/>
      </c>
      <c r="J12" s="58" t="str">
        <f t="shared" si="3"/>
        <v/>
      </c>
      <c r="K12" s="3"/>
      <c r="L12" s="42"/>
      <c r="U12" s="119" t="s">
        <v>11</v>
      </c>
      <c r="V12" s="120">
        <f t="shared" si="4"/>
        <v>0.51430708808677761</v>
      </c>
      <c r="W12" s="120">
        <v>11000</v>
      </c>
      <c r="X12" s="120"/>
      <c r="Y12" s="120">
        <f t="shared" si="5"/>
        <v>11000</v>
      </c>
      <c r="Z12" s="121"/>
      <c r="AB12" s="109" t="s">
        <v>128</v>
      </c>
      <c r="AC12" s="8">
        <v>0</v>
      </c>
      <c r="AD12" s="109">
        <v>1500</v>
      </c>
      <c r="AE12" s="97">
        <f t="shared" si="0"/>
        <v>0</v>
      </c>
      <c r="AF12" s="8">
        <v>1</v>
      </c>
    </row>
    <row r="13" spans="1:43" ht="25" customHeight="1" outlineLevel="1" x14ac:dyDescent="0.35">
      <c r="B13" s="165"/>
      <c r="C13" s="165"/>
      <c r="D13" s="165"/>
      <c r="E13" s="3" t="s">
        <v>14</v>
      </c>
      <c r="F13" s="31" t="s">
        <v>105</v>
      </c>
      <c r="G13" s="35"/>
      <c r="H13" s="57" t="str">
        <f t="shared" si="1"/>
        <v/>
      </c>
      <c r="I13" s="57" t="str">
        <f t="shared" si="2"/>
        <v/>
      </c>
      <c r="J13" s="58" t="str">
        <f t="shared" si="3"/>
        <v/>
      </c>
      <c r="K13" s="3"/>
      <c r="L13" s="43"/>
      <c r="U13" s="119" t="s">
        <v>11</v>
      </c>
      <c r="V13" s="120">
        <f t="shared" si="4"/>
        <v>0.51430708808677761</v>
      </c>
      <c r="W13" s="120">
        <v>11000</v>
      </c>
      <c r="X13" s="120"/>
      <c r="Y13" s="120">
        <f t="shared" si="5"/>
        <v>11000</v>
      </c>
      <c r="Z13" s="121"/>
      <c r="AB13" s="109" t="s">
        <v>190</v>
      </c>
      <c r="AC13" s="8">
        <v>0</v>
      </c>
      <c r="AD13" s="109">
        <v>2000</v>
      </c>
      <c r="AE13" s="97">
        <f>INT($AE$3*AC13/$AC$3)</f>
        <v>0</v>
      </c>
      <c r="AF13" s="8">
        <v>1</v>
      </c>
    </row>
    <row r="14" spans="1:43" ht="30" customHeight="1" x14ac:dyDescent="0.35">
      <c r="A14" s="8" t="s">
        <v>133</v>
      </c>
      <c r="B14" s="160">
        <v>2</v>
      </c>
      <c r="C14" s="160" t="s">
        <v>15</v>
      </c>
      <c r="D14" s="160" t="s">
        <v>12</v>
      </c>
      <c r="E14" s="27" t="s">
        <v>102</v>
      </c>
      <c r="F14" s="32"/>
      <c r="G14" s="36"/>
      <c r="H14" s="59" t="str">
        <f t="shared" si="1"/>
        <v/>
      </c>
      <c r="I14" s="59" t="str">
        <f t="shared" si="2"/>
        <v/>
      </c>
      <c r="J14" s="60" t="str">
        <f t="shared" si="3"/>
        <v/>
      </c>
      <c r="K14" s="160" t="s">
        <v>172</v>
      </c>
      <c r="L14" s="44"/>
      <c r="U14" s="119" t="str">
        <f t="shared" ref="U14:U29" si="6">C14</f>
        <v>Britoil 22</v>
      </c>
      <c r="V14" s="120">
        <f t="shared" si="4"/>
        <v>0.51430708808677761</v>
      </c>
      <c r="W14" s="120">
        <v>11000</v>
      </c>
      <c r="X14" s="120"/>
      <c r="Y14" s="120">
        <f t="shared" si="5"/>
        <v>11000</v>
      </c>
      <c r="Z14" s="121"/>
      <c r="AB14" s="109" t="s">
        <v>310</v>
      </c>
      <c r="AC14" s="8">
        <v>10000</v>
      </c>
      <c r="AD14" s="109">
        <v>0</v>
      </c>
      <c r="AE14" s="97">
        <f>INT($AE$3*AC14/$AC$3)</f>
        <v>58</v>
      </c>
      <c r="AF14" s="8">
        <v>1</v>
      </c>
      <c r="AI14" s="100" t="s">
        <v>141</v>
      </c>
      <c r="AJ14" s="101" t="s">
        <v>279</v>
      </c>
      <c r="AK14" s="30" t="s">
        <v>286</v>
      </c>
      <c r="AL14" s="102" t="s">
        <v>113</v>
      </c>
    </row>
    <row r="15" spans="1:43" ht="25" customHeight="1" outlineLevel="1" x14ac:dyDescent="0.35">
      <c r="B15" s="161"/>
      <c r="C15" s="161"/>
      <c r="D15" s="161"/>
      <c r="E15" s="6" t="s">
        <v>106</v>
      </c>
      <c r="F15" s="32" t="s">
        <v>21</v>
      </c>
      <c r="G15" s="37"/>
      <c r="H15" s="61" t="str">
        <f t="shared" si="1"/>
        <v/>
      </c>
      <c r="I15" s="61" t="str">
        <f t="shared" si="2"/>
        <v/>
      </c>
      <c r="J15" s="62" t="str">
        <f t="shared" si="3"/>
        <v/>
      </c>
      <c r="K15" s="161"/>
      <c r="L15" s="45"/>
      <c r="U15" s="119" t="s">
        <v>15</v>
      </c>
      <c r="V15" s="120">
        <f t="shared" si="4"/>
        <v>0.51430708808677761</v>
      </c>
      <c r="W15" s="120">
        <v>11000</v>
      </c>
      <c r="X15" s="120"/>
      <c r="Y15" s="120">
        <f t="shared" si="5"/>
        <v>11000</v>
      </c>
      <c r="Z15" s="121"/>
      <c r="AB15" s="109" t="s">
        <v>309</v>
      </c>
      <c r="AC15" s="8">
        <v>8000</v>
      </c>
      <c r="AD15" s="109">
        <v>5000</v>
      </c>
      <c r="AE15" s="97">
        <f t="shared" si="0"/>
        <v>46</v>
      </c>
      <c r="AF15" s="8">
        <v>1</v>
      </c>
      <c r="AI15" s="103" t="s">
        <v>13</v>
      </c>
      <c r="AJ15" s="8">
        <v>11000</v>
      </c>
      <c r="AK15" s="8">
        <v>3200</v>
      </c>
      <c r="AL15" s="97">
        <v>64</v>
      </c>
      <c r="AM15" s="8" t="s">
        <v>151</v>
      </c>
    </row>
    <row r="16" spans="1:43" ht="25" customHeight="1" outlineLevel="1" x14ac:dyDescent="0.35">
      <c r="B16" s="161"/>
      <c r="C16" s="161"/>
      <c r="D16" s="161"/>
      <c r="E16" s="6" t="s">
        <v>109</v>
      </c>
      <c r="F16" s="32" t="s">
        <v>21</v>
      </c>
      <c r="G16" s="37"/>
      <c r="H16" s="61" t="str">
        <f t="shared" si="1"/>
        <v/>
      </c>
      <c r="I16" s="61" t="str">
        <f t="shared" si="2"/>
        <v/>
      </c>
      <c r="J16" s="62" t="str">
        <f t="shared" si="3"/>
        <v/>
      </c>
      <c r="K16" s="161"/>
      <c r="L16" s="45"/>
      <c r="U16" s="119" t="s">
        <v>15</v>
      </c>
      <c r="V16" s="120">
        <f t="shared" si="4"/>
        <v>0.51430708808677761</v>
      </c>
      <c r="W16" s="120">
        <v>11000</v>
      </c>
      <c r="X16" s="120"/>
      <c r="Y16" s="120">
        <f t="shared" si="5"/>
        <v>11000</v>
      </c>
      <c r="Z16" s="121"/>
      <c r="AB16" s="92" t="s">
        <v>185</v>
      </c>
      <c r="AC16" s="16">
        <v>0</v>
      </c>
      <c r="AD16" s="92">
        <v>3200</v>
      </c>
      <c r="AE16" s="92">
        <f t="shared" si="0"/>
        <v>0</v>
      </c>
      <c r="AF16" s="8">
        <v>1</v>
      </c>
      <c r="AI16" s="103" t="s">
        <v>93</v>
      </c>
      <c r="AJ16" s="8">
        <v>0</v>
      </c>
      <c r="AK16" s="8">
        <v>3200</v>
      </c>
      <c r="AL16" s="97">
        <v>50</v>
      </c>
      <c r="AM16" s="8" t="s">
        <v>152</v>
      </c>
    </row>
    <row r="17" spans="1:38" ht="25" customHeight="1" outlineLevel="1" x14ac:dyDescent="0.35">
      <c r="B17" s="161"/>
      <c r="C17" s="161"/>
      <c r="D17" s="161"/>
      <c r="E17" s="6" t="s">
        <v>13</v>
      </c>
      <c r="F17" s="32" t="s">
        <v>17</v>
      </c>
      <c r="G17" s="37" t="s">
        <v>171</v>
      </c>
      <c r="H17" s="61">
        <f t="shared" si="1"/>
        <v>5657.3779689545536</v>
      </c>
      <c r="I17" s="61">
        <f t="shared" si="2"/>
        <v>1645.7826818776884</v>
      </c>
      <c r="J17" s="62">
        <f t="shared" si="3"/>
        <v>32.915653637553767</v>
      </c>
      <c r="K17" s="161"/>
      <c r="L17" s="45"/>
      <c r="U17" s="119" t="s">
        <v>15</v>
      </c>
      <c r="V17" s="120">
        <f t="shared" si="4"/>
        <v>0.51430708808677761</v>
      </c>
      <c r="W17" s="120">
        <v>11000</v>
      </c>
      <c r="X17" s="120"/>
      <c r="Y17" s="120">
        <f t="shared" si="5"/>
        <v>11000</v>
      </c>
      <c r="Z17" s="121"/>
      <c r="AH17" s="103" t="s">
        <v>110</v>
      </c>
      <c r="AI17" s="8">
        <v>0</v>
      </c>
      <c r="AJ17" s="8">
        <v>0</v>
      </c>
      <c r="AK17" s="97">
        <v>0</v>
      </c>
      <c r="AL17" s="8" t="s">
        <v>148</v>
      </c>
    </row>
    <row r="18" spans="1:38" ht="25" customHeight="1" outlineLevel="1" x14ac:dyDescent="0.35">
      <c r="B18" s="162"/>
      <c r="C18" s="162"/>
      <c r="D18" s="162"/>
      <c r="E18" s="6" t="s">
        <v>14</v>
      </c>
      <c r="F18" s="32" t="s">
        <v>105</v>
      </c>
      <c r="G18" s="38"/>
      <c r="H18" s="63" t="str">
        <f t="shared" si="1"/>
        <v/>
      </c>
      <c r="I18" s="63" t="str">
        <f t="shared" si="2"/>
        <v/>
      </c>
      <c r="J18" s="64" t="str">
        <f t="shared" si="3"/>
        <v/>
      </c>
      <c r="K18" s="162"/>
      <c r="L18" s="46"/>
      <c r="U18" s="119" t="s">
        <v>15</v>
      </c>
      <c r="V18" s="120">
        <f t="shared" si="4"/>
        <v>0.51430708808677761</v>
      </c>
      <c r="W18" s="120">
        <v>11000</v>
      </c>
      <c r="X18" s="120"/>
      <c r="Y18" s="120">
        <f t="shared" si="5"/>
        <v>11000</v>
      </c>
      <c r="Z18" s="121"/>
      <c r="AH18" s="103" t="s">
        <v>14</v>
      </c>
      <c r="AI18" s="8">
        <v>2500</v>
      </c>
      <c r="AJ18" s="8">
        <v>3200</v>
      </c>
      <c r="AK18" s="97">
        <v>11</v>
      </c>
      <c r="AL18" s="8" t="s">
        <v>37</v>
      </c>
    </row>
    <row r="19" spans="1:38" ht="30" customHeight="1" x14ac:dyDescent="0.35">
      <c r="A19" s="8" t="s">
        <v>133</v>
      </c>
      <c r="B19" s="163">
        <v>3</v>
      </c>
      <c r="C19" s="163" t="s">
        <v>16</v>
      </c>
      <c r="D19" s="163" t="s">
        <v>12</v>
      </c>
      <c r="E19" s="26" t="s">
        <v>102</v>
      </c>
      <c r="F19" s="31"/>
      <c r="G19" s="35"/>
      <c r="H19" s="57" t="str">
        <f t="shared" si="1"/>
        <v/>
      </c>
      <c r="I19" s="57" t="str">
        <f t="shared" si="2"/>
        <v/>
      </c>
      <c r="J19" s="58" t="str">
        <f t="shared" si="3"/>
        <v/>
      </c>
      <c r="K19" s="3"/>
      <c r="L19" s="41"/>
      <c r="U19" s="119" t="str">
        <f t="shared" si="6"/>
        <v>Britoil 41</v>
      </c>
      <c r="V19" s="120">
        <f t="shared" si="4"/>
        <v>1.3</v>
      </c>
      <c r="W19" s="120">
        <v>42000</v>
      </c>
      <c r="X19" s="120" t="s">
        <v>157</v>
      </c>
      <c r="Y19" s="120">
        <f t="shared" si="5"/>
        <v>33611</v>
      </c>
      <c r="Z19" s="121"/>
      <c r="AC19" s="148" t="s">
        <v>294</v>
      </c>
      <c r="AD19" s="148" t="s">
        <v>295</v>
      </c>
      <c r="AE19" s="148" t="s">
        <v>296</v>
      </c>
      <c r="AH19" s="103" t="s">
        <v>106</v>
      </c>
      <c r="AI19" s="8">
        <v>8300</v>
      </c>
      <c r="AJ19" s="8">
        <v>1000</v>
      </c>
      <c r="AK19" s="97">
        <v>45</v>
      </c>
      <c r="AL19" s="8" t="s">
        <v>149</v>
      </c>
    </row>
    <row r="20" spans="1:38" ht="25" customHeight="1" outlineLevel="1" x14ac:dyDescent="0.35">
      <c r="B20" s="164"/>
      <c r="C20" s="164"/>
      <c r="D20" s="164"/>
      <c r="E20" s="3" t="s">
        <v>13</v>
      </c>
      <c r="F20" s="31" t="s">
        <v>17</v>
      </c>
      <c r="G20" s="35"/>
      <c r="H20" s="57">
        <f t="shared" si="1"/>
        <v>14300</v>
      </c>
      <c r="I20" s="57">
        <f t="shared" si="2"/>
        <v>4160</v>
      </c>
      <c r="J20" s="58">
        <f t="shared" si="3"/>
        <v>83.2</v>
      </c>
      <c r="K20" s="3"/>
      <c r="L20" s="42"/>
      <c r="U20" s="119" t="s">
        <v>16</v>
      </c>
      <c r="V20" s="120">
        <f t="shared" si="4"/>
        <v>1.3</v>
      </c>
      <c r="W20" s="120">
        <v>42000</v>
      </c>
      <c r="X20" s="120"/>
      <c r="Y20" s="120">
        <f t="shared" si="5"/>
        <v>33611</v>
      </c>
      <c r="Z20" s="121"/>
      <c r="AH20" s="104" t="s">
        <v>109</v>
      </c>
      <c r="AI20" s="13">
        <v>16000</v>
      </c>
      <c r="AJ20" s="13">
        <v>100</v>
      </c>
      <c r="AK20" s="98">
        <v>85</v>
      </c>
      <c r="AL20" s="13" t="s">
        <v>142</v>
      </c>
    </row>
    <row r="21" spans="1:38" ht="25" customHeight="1" outlineLevel="1" x14ac:dyDescent="0.35">
      <c r="B21" s="164"/>
      <c r="C21" s="164"/>
      <c r="D21" s="164"/>
      <c r="E21" s="3" t="s">
        <v>109</v>
      </c>
      <c r="F21" s="31" t="s">
        <v>21</v>
      </c>
      <c r="G21" s="35"/>
      <c r="H21" s="57" t="str">
        <f t="shared" si="1"/>
        <v/>
      </c>
      <c r="I21" s="57" t="str">
        <f t="shared" si="2"/>
        <v/>
      </c>
      <c r="J21" s="58" t="str">
        <f t="shared" si="3"/>
        <v/>
      </c>
      <c r="K21" s="3"/>
      <c r="L21" s="42"/>
      <c r="U21" s="119" t="s">
        <v>16</v>
      </c>
      <c r="V21" s="120">
        <f t="shared" si="4"/>
        <v>1.3</v>
      </c>
      <c r="W21" s="120">
        <v>42000</v>
      </c>
      <c r="X21" s="120"/>
      <c r="Y21" s="120">
        <f t="shared" si="5"/>
        <v>33611</v>
      </c>
      <c r="Z21" s="121"/>
      <c r="AH21" s="104" t="s">
        <v>281</v>
      </c>
      <c r="AI21" s="8">
        <v>8000</v>
      </c>
      <c r="AJ21" s="8">
        <v>100</v>
      </c>
      <c r="AK21" s="98">
        <v>40</v>
      </c>
    </row>
    <row r="22" spans="1:38" ht="25" customHeight="1" outlineLevel="1" x14ac:dyDescent="0.35">
      <c r="B22" s="164"/>
      <c r="C22" s="164"/>
      <c r="D22" s="164"/>
      <c r="E22" s="3" t="s">
        <v>106</v>
      </c>
      <c r="F22" s="31" t="s">
        <v>17</v>
      </c>
      <c r="G22" s="35"/>
      <c r="H22" s="57">
        <f t="shared" si="1"/>
        <v>10790</v>
      </c>
      <c r="I22" s="57">
        <f t="shared" si="2"/>
        <v>5200</v>
      </c>
      <c r="J22" s="58">
        <f t="shared" si="3"/>
        <v>110.5</v>
      </c>
      <c r="K22" s="3"/>
      <c r="L22" s="42"/>
      <c r="U22" s="119" t="s">
        <v>16</v>
      </c>
      <c r="V22" s="120">
        <f t="shared" si="4"/>
        <v>1.3</v>
      </c>
      <c r="W22" s="120">
        <v>42000</v>
      </c>
      <c r="X22" s="120"/>
      <c r="Y22" s="120">
        <f t="shared" si="5"/>
        <v>33611</v>
      </c>
      <c r="Z22" s="121"/>
      <c r="AH22" s="103" t="s">
        <v>103</v>
      </c>
      <c r="AI22" s="8">
        <v>0</v>
      </c>
      <c r="AJ22" s="8">
        <v>3000</v>
      </c>
      <c r="AK22" s="97">
        <v>0</v>
      </c>
      <c r="AL22" s="8" t="s">
        <v>148</v>
      </c>
    </row>
    <row r="23" spans="1:38" ht="25" customHeight="1" outlineLevel="1" x14ac:dyDescent="0.35">
      <c r="B23" s="165"/>
      <c r="C23" s="165"/>
      <c r="D23" s="165"/>
      <c r="E23" s="3" t="s">
        <v>14</v>
      </c>
      <c r="F23" s="31" t="s">
        <v>17</v>
      </c>
      <c r="G23" s="35"/>
      <c r="H23" s="57">
        <f t="shared" si="1"/>
        <v>1950</v>
      </c>
      <c r="I23" s="57">
        <f t="shared" si="2"/>
        <v>8060</v>
      </c>
      <c r="J23" s="58">
        <f t="shared" si="3"/>
        <v>10.4</v>
      </c>
      <c r="K23" s="3"/>
      <c r="L23" s="43"/>
      <c r="U23" s="119" t="s">
        <v>16</v>
      </c>
      <c r="V23" s="120">
        <f t="shared" si="4"/>
        <v>1.3</v>
      </c>
      <c r="W23" s="120">
        <v>42000</v>
      </c>
      <c r="X23" s="120"/>
      <c r="Y23" s="120">
        <f t="shared" si="5"/>
        <v>33611</v>
      </c>
      <c r="Z23" s="121"/>
      <c r="AH23" s="105" t="s">
        <v>128</v>
      </c>
      <c r="AI23" s="16">
        <v>0</v>
      </c>
      <c r="AJ23" s="16">
        <v>2000</v>
      </c>
      <c r="AK23" s="99">
        <v>0</v>
      </c>
      <c r="AL23" s="8" t="s">
        <v>148</v>
      </c>
    </row>
    <row r="24" spans="1:38" ht="30" customHeight="1" x14ac:dyDescent="0.35">
      <c r="A24" s="8" t="s">
        <v>133</v>
      </c>
      <c r="B24" s="160">
        <v>4</v>
      </c>
      <c r="C24" s="160" t="s">
        <v>18</v>
      </c>
      <c r="D24" s="160" t="s">
        <v>12</v>
      </c>
      <c r="E24" s="27" t="s">
        <v>102</v>
      </c>
      <c r="F24" s="32"/>
      <c r="G24" s="36"/>
      <c r="H24" s="59" t="str">
        <f t="shared" si="1"/>
        <v/>
      </c>
      <c r="I24" s="59" t="str">
        <f t="shared" si="2"/>
        <v/>
      </c>
      <c r="J24" s="60" t="str">
        <f t="shared" si="3"/>
        <v/>
      </c>
      <c r="K24" s="190" t="s">
        <v>100</v>
      </c>
      <c r="L24" s="44"/>
      <c r="U24" s="119" t="str">
        <f t="shared" si="6"/>
        <v>Britoil 60</v>
      </c>
      <c r="V24" s="120">
        <f t="shared" si="4"/>
        <v>1.3</v>
      </c>
      <c r="W24" s="120">
        <v>32000</v>
      </c>
      <c r="X24" s="120" t="s">
        <v>157</v>
      </c>
      <c r="Y24" s="120">
        <f t="shared" si="5"/>
        <v>32083</v>
      </c>
      <c r="Z24" s="121"/>
    </row>
    <row r="25" spans="1:38" ht="25" customHeight="1" outlineLevel="1" x14ac:dyDescent="0.35">
      <c r="B25" s="161"/>
      <c r="C25" s="161"/>
      <c r="D25" s="161"/>
      <c r="E25" s="6" t="s">
        <v>13</v>
      </c>
      <c r="F25" s="32" t="s">
        <v>17</v>
      </c>
      <c r="G25" s="37"/>
      <c r="H25" s="61">
        <f t="shared" si="1"/>
        <v>14300</v>
      </c>
      <c r="I25" s="61">
        <f t="shared" si="2"/>
        <v>4160</v>
      </c>
      <c r="J25" s="62">
        <f t="shared" si="3"/>
        <v>83.2</v>
      </c>
      <c r="K25" s="191"/>
      <c r="L25" s="45"/>
      <c r="U25" s="119" t="s">
        <v>18</v>
      </c>
      <c r="V25" s="120">
        <f t="shared" si="4"/>
        <v>1.3</v>
      </c>
      <c r="W25" s="120">
        <v>32000</v>
      </c>
      <c r="X25" s="120"/>
      <c r="Y25" s="120">
        <f t="shared" si="5"/>
        <v>32083</v>
      </c>
      <c r="Z25" s="121"/>
      <c r="AJ25" s="158" t="s">
        <v>159</v>
      </c>
      <c r="AK25" s="159"/>
    </row>
    <row r="26" spans="1:38" ht="25" customHeight="1" outlineLevel="1" x14ac:dyDescent="0.35">
      <c r="B26" s="161"/>
      <c r="C26" s="161"/>
      <c r="D26" s="161"/>
      <c r="E26" s="6" t="s">
        <v>109</v>
      </c>
      <c r="F26" s="32" t="s">
        <v>21</v>
      </c>
      <c r="G26" s="37"/>
      <c r="H26" s="61" t="str">
        <f t="shared" si="1"/>
        <v/>
      </c>
      <c r="I26" s="61" t="str">
        <f t="shared" si="2"/>
        <v/>
      </c>
      <c r="J26" s="62" t="str">
        <f t="shared" si="3"/>
        <v/>
      </c>
      <c r="K26" s="191"/>
      <c r="L26" s="45"/>
      <c r="U26" s="119" t="s">
        <v>18</v>
      </c>
      <c r="V26" s="120">
        <f t="shared" si="4"/>
        <v>1.3</v>
      </c>
      <c r="W26" s="120">
        <v>32000</v>
      </c>
      <c r="X26" s="120"/>
      <c r="Y26" s="120">
        <f t="shared" si="5"/>
        <v>32083</v>
      </c>
      <c r="Z26" s="121"/>
    </row>
    <row r="27" spans="1:38" ht="25" customHeight="1" outlineLevel="1" x14ac:dyDescent="0.35">
      <c r="B27" s="161"/>
      <c r="C27" s="161"/>
      <c r="D27" s="161"/>
      <c r="E27" s="6" t="s">
        <v>106</v>
      </c>
      <c r="F27" s="32" t="s">
        <v>21</v>
      </c>
      <c r="G27" s="37"/>
      <c r="H27" s="61" t="str">
        <f t="shared" si="1"/>
        <v/>
      </c>
      <c r="I27" s="61" t="str">
        <f t="shared" si="2"/>
        <v/>
      </c>
      <c r="J27" s="62" t="str">
        <f t="shared" si="3"/>
        <v/>
      </c>
      <c r="K27" s="191"/>
      <c r="L27" s="45"/>
      <c r="U27" s="119" t="s">
        <v>18</v>
      </c>
      <c r="V27" s="120">
        <f t="shared" si="4"/>
        <v>1.3</v>
      </c>
      <c r="W27" s="120">
        <v>32000</v>
      </c>
      <c r="X27" s="120"/>
      <c r="Y27" s="120">
        <f t="shared" si="5"/>
        <v>32083</v>
      </c>
      <c r="Z27" s="121"/>
    </row>
    <row r="28" spans="1:38" ht="25" customHeight="1" outlineLevel="1" x14ac:dyDescent="0.35">
      <c r="B28" s="162"/>
      <c r="C28" s="162"/>
      <c r="D28" s="162"/>
      <c r="E28" s="7" t="s">
        <v>14</v>
      </c>
      <c r="F28" s="32" t="s">
        <v>17</v>
      </c>
      <c r="G28" s="38">
        <v>45397</v>
      </c>
      <c r="H28" s="63">
        <f t="shared" si="1"/>
        <v>1950</v>
      </c>
      <c r="I28" s="63">
        <f t="shared" si="2"/>
        <v>8060</v>
      </c>
      <c r="J28" s="64">
        <f t="shared" si="3"/>
        <v>10.4</v>
      </c>
      <c r="K28" s="192"/>
      <c r="L28" s="46"/>
      <c r="U28" s="119" t="s">
        <v>18</v>
      </c>
      <c r="V28" s="120">
        <f t="shared" si="4"/>
        <v>1.3</v>
      </c>
      <c r="W28" s="120">
        <v>32000</v>
      </c>
      <c r="X28" s="120"/>
      <c r="Y28" s="120">
        <f t="shared" si="5"/>
        <v>32083</v>
      </c>
      <c r="Z28" s="121"/>
    </row>
    <row r="29" spans="1:38" ht="30" customHeight="1" x14ac:dyDescent="0.35">
      <c r="A29" s="8" t="s">
        <v>133</v>
      </c>
      <c r="B29" s="163">
        <v>5</v>
      </c>
      <c r="C29" s="163" t="s">
        <v>19</v>
      </c>
      <c r="D29" s="163" t="s">
        <v>12</v>
      </c>
      <c r="E29" s="26" t="s">
        <v>102</v>
      </c>
      <c r="F29" s="31"/>
      <c r="G29" s="35"/>
      <c r="H29" s="57" t="str">
        <f t="shared" si="1"/>
        <v/>
      </c>
      <c r="I29" s="57" t="str">
        <f t="shared" si="2"/>
        <v/>
      </c>
      <c r="J29" s="58" t="str">
        <f t="shared" si="3"/>
        <v/>
      </c>
      <c r="K29" s="3"/>
      <c r="L29" s="41"/>
      <c r="U29" s="119" t="str">
        <f t="shared" si="6"/>
        <v>Britoil 61</v>
      </c>
      <c r="V29" s="120">
        <f t="shared" si="4"/>
        <v>1.3</v>
      </c>
      <c r="W29" s="120">
        <v>32000</v>
      </c>
      <c r="X29" s="120" t="s">
        <v>157</v>
      </c>
      <c r="Y29" s="120">
        <f t="shared" si="5"/>
        <v>32083</v>
      </c>
      <c r="Z29" s="121"/>
      <c r="AB29" s="8" t="s">
        <v>202</v>
      </c>
      <c r="AC29" s="8" t="s">
        <v>203</v>
      </c>
      <c r="AD29" s="8" t="s">
        <v>204</v>
      </c>
      <c r="AE29" s="8" t="s">
        <v>205</v>
      </c>
    </row>
    <row r="30" spans="1:38" ht="25" customHeight="1" outlineLevel="1" x14ac:dyDescent="0.35">
      <c r="B30" s="164"/>
      <c r="C30" s="164"/>
      <c r="D30" s="164"/>
      <c r="E30" s="3" t="s">
        <v>13</v>
      </c>
      <c r="F30" s="31" t="s">
        <v>17</v>
      </c>
      <c r="G30" s="35"/>
      <c r="H30" s="57">
        <f t="shared" si="1"/>
        <v>14300</v>
      </c>
      <c r="I30" s="57">
        <f t="shared" si="2"/>
        <v>4160</v>
      </c>
      <c r="J30" s="58">
        <f t="shared" si="3"/>
        <v>83.2</v>
      </c>
      <c r="K30" s="3"/>
      <c r="L30" s="42"/>
      <c r="U30" s="119" t="str" cm="1">
        <f t="array" ref="U30">IF(C30="",INDEX(C27:C30,MATCH(TRUE,INDEX((C27:C30&lt;&gt;""),0),0)),C30)</f>
        <v>Britoil 61</v>
      </c>
      <c r="V30" s="120">
        <f t="shared" si="4"/>
        <v>1.3</v>
      </c>
      <c r="W30" s="120">
        <v>32000</v>
      </c>
      <c r="X30" s="120"/>
      <c r="Y30" s="120">
        <f t="shared" si="5"/>
        <v>32083</v>
      </c>
      <c r="Z30" s="121"/>
      <c r="AB30" s="8" t="s">
        <v>11</v>
      </c>
      <c r="AC30" s="118">
        <v>3600</v>
      </c>
      <c r="AD30" s="8">
        <v>52</v>
      </c>
      <c r="AE30" s="8" t="s">
        <v>206</v>
      </c>
      <c r="AF30" s="8">
        <v>14.4</v>
      </c>
      <c r="AG30" s="8">
        <v>1</v>
      </c>
      <c r="AH30" s="8">
        <v>11000</v>
      </c>
    </row>
    <row r="31" spans="1:38" ht="25" customHeight="1" outlineLevel="1" x14ac:dyDescent="0.35">
      <c r="B31" s="164"/>
      <c r="C31" s="164"/>
      <c r="D31" s="164"/>
      <c r="E31" s="3" t="s">
        <v>109</v>
      </c>
      <c r="F31" s="31" t="s">
        <v>21</v>
      </c>
      <c r="G31" s="35"/>
      <c r="H31" s="57" t="str">
        <f t="shared" si="1"/>
        <v/>
      </c>
      <c r="I31" s="57" t="str">
        <f t="shared" si="2"/>
        <v/>
      </c>
      <c r="J31" s="58" t="str">
        <f t="shared" si="3"/>
        <v/>
      </c>
      <c r="K31" s="3"/>
      <c r="L31" s="42"/>
      <c r="U31" s="119" t="str" cm="1">
        <f t="array" ref="U31">IF(C31="",INDEX(C28:C31,MATCH(TRUE,INDEX((C28:C31&lt;&gt;""),0),0)),C31)</f>
        <v>Britoil 61</v>
      </c>
      <c r="V31" s="120">
        <f t="shared" si="4"/>
        <v>1.3</v>
      </c>
      <c r="W31" s="120">
        <v>32000</v>
      </c>
      <c r="X31" s="120"/>
      <c r="Y31" s="120">
        <f t="shared" si="5"/>
        <v>32083</v>
      </c>
      <c r="Z31" s="121"/>
      <c r="AB31" s="8" t="s">
        <v>15</v>
      </c>
      <c r="AC31" s="118">
        <v>3600</v>
      </c>
      <c r="AD31" s="8">
        <v>52</v>
      </c>
      <c r="AE31" s="8" t="s">
        <v>206</v>
      </c>
      <c r="AF31" s="8">
        <v>14.4</v>
      </c>
      <c r="AG31" s="8">
        <v>1</v>
      </c>
      <c r="AH31" s="8">
        <f>$AH$30 *AC31/ $AC$30</f>
        <v>11000</v>
      </c>
    </row>
    <row r="32" spans="1:38" ht="25" customHeight="1" outlineLevel="1" x14ac:dyDescent="0.35">
      <c r="B32" s="164"/>
      <c r="C32" s="164"/>
      <c r="D32" s="164"/>
      <c r="E32" s="3" t="s">
        <v>106</v>
      </c>
      <c r="F32" s="31" t="s">
        <v>21</v>
      </c>
      <c r="G32" s="35"/>
      <c r="H32" s="57" t="str">
        <f t="shared" si="1"/>
        <v/>
      </c>
      <c r="I32" s="57" t="str">
        <f t="shared" si="2"/>
        <v/>
      </c>
      <c r="J32" s="58" t="str">
        <f t="shared" si="3"/>
        <v/>
      </c>
      <c r="K32" s="3"/>
      <c r="L32" s="42"/>
      <c r="U32" s="119" t="str" cm="1">
        <f t="array" ref="U32">IF(C32="",INDEX(C28:C32,MATCH(TRUE,INDEX((C28:C32&lt;&gt;""),0),0)),C32)</f>
        <v>Britoil 61</v>
      </c>
      <c r="V32" s="120">
        <f t="shared" si="4"/>
        <v>1.3</v>
      </c>
      <c r="W32" s="120">
        <v>32000</v>
      </c>
      <c r="X32" s="120"/>
      <c r="Y32" s="120">
        <f t="shared" si="5"/>
        <v>32083</v>
      </c>
      <c r="Z32" s="121"/>
      <c r="AB32" s="8" t="s">
        <v>16</v>
      </c>
      <c r="AC32" s="118">
        <v>11000</v>
      </c>
      <c r="AD32" s="8">
        <v>150</v>
      </c>
      <c r="AE32" s="8" t="s">
        <v>207</v>
      </c>
      <c r="AF32" s="8">
        <v>13.6</v>
      </c>
      <c r="AG32" s="8">
        <v>0.94405594400000004</v>
      </c>
      <c r="AH32" s="8">
        <f t="shared" ref="AH32:AH99" si="7">$AH$30 *AC32/ $AC$30</f>
        <v>33611.111111111109</v>
      </c>
    </row>
    <row r="33" spans="1:34" ht="25" customHeight="1" outlineLevel="1" x14ac:dyDescent="0.35">
      <c r="B33" s="165"/>
      <c r="C33" s="165"/>
      <c r="D33" s="165"/>
      <c r="E33" s="4" t="s">
        <v>14</v>
      </c>
      <c r="F33" s="31" t="s">
        <v>17</v>
      </c>
      <c r="G33" s="35"/>
      <c r="H33" s="57">
        <f t="shared" si="1"/>
        <v>1950</v>
      </c>
      <c r="I33" s="57">
        <f t="shared" si="2"/>
        <v>8060</v>
      </c>
      <c r="J33" s="58">
        <f t="shared" si="3"/>
        <v>10.4</v>
      </c>
      <c r="K33" s="3"/>
      <c r="L33" s="43"/>
      <c r="U33" s="119" t="str" cm="1">
        <f t="array" ref="U33">IF(C33="",INDEX(C29:C33,MATCH(TRUE,INDEX((C29:C33&lt;&gt;""),0),0)),C33)</f>
        <v>Britoil 61</v>
      </c>
      <c r="V33" s="120">
        <f t="shared" si="4"/>
        <v>1.3</v>
      </c>
      <c r="W33" s="120">
        <v>32000</v>
      </c>
      <c r="X33" s="120"/>
      <c r="Y33" s="120">
        <f t="shared" si="5"/>
        <v>32083</v>
      </c>
      <c r="Z33" s="121"/>
      <c r="AB33" s="8" t="s">
        <v>18</v>
      </c>
      <c r="AC33" s="118">
        <v>10500</v>
      </c>
      <c r="AD33" s="8">
        <v>130</v>
      </c>
      <c r="AE33" s="8" t="s">
        <v>208</v>
      </c>
      <c r="AF33" s="8">
        <v>12.4</v>
      </c>
      <c r="AG33" s="8">
        <v>0.85714285700000004</v>
      </c>
      <c r="AH33" s="8">
        <f t="shared" si="7"/>
        <v>32083.333333333332</v>
      </c>
    </row>
    <row r="34" spans="1:34" ht="30" customHeight="1" x14ac:dyDescent="0.35">
      <c r="A34" s="8" t="s">
        <v>133</v>
      </c>
      <c r="B34" s="160">
        <v>6</v>
      </c>
      <c r="C34" s="160" t="s">
        <v>20</v>
      </c>
      <c r="D34" s="160" t="s">
        <v>12</v>
      </c>
      <c r="E34" s="27" t="s">
        <v>102</v>
      </c>
      <c r="F34" s="32"/>
      <c r="G34" s="36"/>
      <c r="H34" s="59" t="str">
        <f t="shared" si="1"/>
        <v/>
      </c>
      <c r="I34" s="59" t="str">
        <f t="shared" si="2"/>
        <v/>
      </c>
      <c r="J34" s="60" t="str">
        <f t="shared" si="3"/>
        <v/>
      </c>
      <c r="K34" s="5"/>
      <c r="L34" s="44"/>
      <c r="U34" s="119" t="str" cm="1">
        <f t="array" ref="U34">IF(C34="",INDEX(C30:C34,MATCH(TRUE,INDEX((C30:C34&lt;&gt;""),0),0)),C34)</f>
        <v>Britoil 62</v>
      </c>
      <c r="V34" s="120">
        <f t="shared" si="4"/>
        <v>0.77146063213016647</v>
      </c>
      <c r="W34" s="120">
        <v>16000</v>
      </c>
      <c r="X34" s="120"/>
      <c r="Y34" s="120">
        <f t="shared" si="5"/>
        <v>16500</v>
      </c>
      <c r="Z34" s="121"/>
      <c r="AB34" s="8" t="s">
        <v>19</v>
      </c>
      <c r="AC34" s="118">
        <v>10500</v>
      </c>
      <c r="AD34" s="8">
        <v>130</v>
      </c>
      <c r="AE34" s="8" t="s">
        <v>208</v>
      </c>
      <c r="AF34" s="8">
        <v>12.4</v>
      </c>
      <c r="AG34" s="8">
        <v>0.85714285700000004</v>
      </c>
      <c r="AH34" s="8">
        <f t="shared" si="7"/>
        <v>32083.333333333332</v>
      </c>
    </row>
    <row r="35" spans="1:34" ht="25" customHeight="1" outlineLevel="1" x14ac:dyDescent="0.35">
      <c r="B35" s="161"/>
      <c r="C35" s="161"/>
      <c r="D35" s="161"/>
      <c r="E35" s="6" t="s">
        <v>13</v>
      </c>
      <c r="F35" s="32" t="s">
        <v>17</v>
      </c>
      <c r="G35" s="37"/>
      <c r="H35" s="61">
        <f t="shared" si="1"/>
        <v>8486.0669534318313</v>
      </c>
      <c r="I35" s="61">
        <f t="shared" si="2"/>
        <v>2468.6740228165327</v>
      </c>
      <c r="J35" s="62">
        <f t="shared" si="3"/>
        <v>49.373480456330654</v>
      </c>
      <c r="K35" s="6"/>
      <c r="L35" s="45"/>
      <c r="U35" s="119" t="str" cm="1">
        <f t="array" ref="U35">IF(C35="",INDEX(C32:C35,MATCH(TRUE,INDEX((C32:C35&lt;&gt;""),0),0)),C35)</f>
        <v>Britoil 62</v>
      </c>
      <c r="V35" s="120">
        <f t="shared" si="4"/>
        <v>0.77146063213016647</v>
      </c>
      <c r="W35" s="120">
        <v>16000</v>
      </c>
      <c r="X35" s="120"/>
      <c r="Y35" s="120">
        <f t="shared" si="5"/>
        <v>16500</v>
      </c>
      <c r="Z35" s="121"/>
      <c r="AB35" s="8" t="s">
        <v>20</v>
      </c>
      <c r="AC35" s="118">
        <v>5400</v>
      </c>
      <c r="AD35" s="8">
        <v>70</v>
      </c>
      <c r="AE35" s="8" t="s">
        <v>209</v>
      </c>
      <c r="AF35" s="8">
        <v>13</v>
      </c>
      <c r="AG35" s="8">
        <v>0.89743589700000004</v>
      </c>
      <c r="AH35" s="8">
        <f t="shared" si="7"/>
        <v>16500</v>
      </c>
    </row>
    <row r="36" spans="1:34" ht="25" customHeight="1" outlineLevel="1" x14ac:dyDescent="0.35">
      <c r="B36" s="161"/>
      <c r="C36" s="161"/>
      <c r="D36" s="161"/>
      <c r="E36" s="6" t="s">
        <v>109</v>
      </c>
      <c r="F36" s="32" t="s">
        <v>21</v>
      </c>
      <c r="G36" s="37"/>
      <c r="H36" s="61" t="str">
        <f t="shared" si="1"/>
        <v/>
      </c>
      <c r="I36" s="61" t="str">
        <f t="shared" si="2"/>
        <v/>
      </c>
      <c r="J36" s="62" t="str">
        <f t="shared" si="3"/>
        <v/>
      </c>
      <c r="K36" s="6"/>
      <c r="L36" s="45"/>
      <c r="U36" s="119" t="str" cm="1">
        <f t="array" ref="U36">IF(C36="",INDEX(C33:C36,MATCH(TRUE,INDEX((C33:C36&lt;&gt;""),0),0)),C36)</f>
        <v>Britoil 62</v>
      </c>
      <c r="V36" s="120">
        <f t="shared" si="4"/>
        <v>0.77146063213016647</v>
      </c>
      <c r="W36" s="120">
        <v>16000</v>
      </c>
      <c r="X36" s="120"/>
      <c r="Y36" s="120">
        <f t="shared" si="5"/>
        <v>16500</v>
      </c>
      <c r="Z36" s="121"/>
      <c r="AB36" s="8" t="s">
        <v>22</v>
      </c>
      <c r="AC36" s="118">
        <v>5400</v>
      </c>
      <c r="AD36" s="8">
        <v>70</v>
      </c>
      <c r="AE36" s="8" t="s">
        <v>209</v>
      </c>
      <c r="AF36" s="8">
        <v>13</v>
      </c>
      <c r="AG36" s="8">
        <v>0.89743589700000004</v>
      </c>
      <c r="AH36" s="8">
        <f t="shared" si="7"/>
        <v>16500</v>
      </c>
    </row>
    <row r="37" spans="1:34" ht="25" customHeight="1" outlineLevel="1" x14ac:dyDescent="0.35">
      <c r="B37" s="161"/>
      <c r="C37" s="161"/>
      <c r="D37" s="161"/>
      <c r="E37" s="6" t="s">
        <v>106</v>
      </c>
      <c r="F37" s="32" t="s">
        <v>21</v>
      </c>
      <c r="G37" s="37"/>
      <c r="H37" s="61" t="str">
        <f t="shared" si="1"/>
        <v/>
      </c>
      <c r="I37" s="61" t="str">
        <f t="shared" si="2"/>
        <v/>
      </c>
      <c r="J37" s="62" t="str">
        <f t="shared" si="3"/>
        <v/>
      </c>
      <c r="K37" s="6"/>
      <c r="L37" s="45"/>
      <c r="U37" s="119" t="str" cm="1">
        <f t="array" ref="U37">IF(C37="",INDEX(C33:C37,MATCH(TRUE,INDEX((C33:C37&lt;&gt;""),0),0)),C37)</f>
        <v>Britoil 62</v>
      </c>
      <c r="V37" s="120">
        <f t="shared" si="4"/>
        <v>0.77146063213016647</v>
      </c>
      <c r="W37" s="120">
        <v>16000</v>
      </c>
      <c r="X37" s="120"/>
      <c r="Y37" s="120">
        <f t="shared" si="5"/>
        <v>16500</v>
      </c>
      <c r="Z37" s="121"/>
      <c r="AB37" s="8" t="s">
        <v>23</v>
      </c>
      <c r="AC37" s="118">
        <v>5400</v>
      </c>
      <c r="AD37" s="8">
        <v>70</v>
      </c>
      <c r="AE37" s="8" t="s">
        <v>209</v>
      </c>
      <c r="AF37" s="8">
        <v>13</v>
      </c>
      <c r="AG37" s="8">
        <v>0.89743589700000004</v>
      </c>
      <c r="AH37" s="8">
        <f t="shared" si="7"/>
        <v>16500</v>
      </c>
    </row>
    <row r="38" spans="1:34" ht="25" customHeight="1" outlineLevel="1" x14ac:dyDescent="0.35">
      <c r="B38" s="162"/>
      <c r="C38" s="162"/>
      <c r="D38" s="162"/>
      <c r="E38" s="7" t="s">
        <v>14</v>
      </c>
      <c r="F38" s="32" t="s">
        <v>17</v>
      </c>
      <c r="G38" s="38"/>
      <c r="H38" s="63">
        <f t="shared" si="1"/>
        <v>1157.1909481952498</v>
      </c>
      <c r="I38" s="63">
        <f t="shared" si="2"/>
        <v>4783.0559192070323</v>
      </c>
      <c r="J38" s="64">
        <f t="shared" si="3"/>
        <v>6.1716850570413317</v>
      </c>
      <c r="K38" s="7"/>
      <c r="L38" s="46"/>
      <c r="U38" s="119" t="str" cm="1">
        <f t="array" ref="U38">IF(C38="",INDEX(C34:C38,MATCH(TRUE,INDEX((C34:C38&lt;&gt;""),0),0)),C38)</f>
        <v>Britoil 62</v>
      </c>
      <c r="V38" s="120">
        <f t="shared" si="4"/>
        <v>0.77146063213016647</v>
      </c>
      <c r="W38" s="120">
        <v>16000</v>
      </c>
      <c r="X38" s="120"/>
      <c r="Y38" s="120">
        <f t="shared" si="5"/>
        <v>16500</v>
      </c>
      <c r="Z38" s="121"/>
      <c r="AB38" s="8" t="s">
        <v>24</v>
      </c>
      <c r="AC38" s="118">
        <v>5400</v>
      </c>
      <c r="AD38" s="8">
        <v>70</v>
      </c>
      <c r="AE38" s="8" t="s">
        <v>209</v>
      </c>
      <c r="AF38" s="8">
        <v>13</v>
      </c>
      <c r="AG38" s="8">
        <v>0.89743589700000004</v>
      </c>
      <c r="AH38" s="8">
        <f t="shared" si="7"/>
        <v>16500</v>
      </c>
    </row>
    <row r="39" spans="1:34" ht="30" customHeight="1" x14ac:dyDescent="0.35">
      <c r="A39" s="8" t="s">
        <v>133</v>
      </c>
      <c r="B39" s="163">
        <v>7</v>
      </c>
      <c r="C39" s="163" t="s">
        <v>22</v>
      </c>
      <c r="D39" s="163" t="s">
        <v>12</v>
      </c>
      <c r="E39" s="26" t="s">
        <v>102</v>
      </c>
      <c r="F39" s="31"/>
      <c r="G39" s="35"/>
      <c r="H39" s="57" t="str">
        <f t="shared" si="1"/>
        <v/>
      </c>
      <c r="I39" s="57" t="str">
        <f t="shared" si="2"/>
        <v/>
      </c>
      <c r="J39" s="58" t="str">
        <f t="shared" si="3"/>
        <v/>
      </c>
      <c r="K39" s="3"/>
      <c r="L39" s="41"/>
      <c r="U39" s="119" t="str" cm="1">
        <f t="array" ref="U39">IF(C39="",INDEX(C35:C39,MATCH(TRUE,INDEX((C35:C39&lt;&gt;""),0),0)),C39)</f>
        <v>Britoil 63</v>
      </c>
      <c r="V39" s="120">
        <f t="shared" si="4"/>
        <v>0.77146063213016647</v>
      </c>
      <c r="W39" s="120">
        <v>16000</v>
      </c>
      <c r="X39" s="120"/>
      <c r="Y39" s="120">
        <f t="shared" si="5"/>
        <v>16500</v>
      </c>
      <c r="Z39" s="121"/>
      <c r="AB39" s="8" t="s">
        <v>25</v>
      </c>
      <c r="AC39" s="118">
        <v>5400</v>
      </c>
      <c r="AD39" s="8">
        <v>70</v>
      </c>
      <c r="AE39" s="8" t="s">
        <v>209</v>
      </c>
      <c r="AF39" s="8">
        <v>13</v>
      </c>
      <c r="AG39" s="8">
        <v>0.89743589700000004</v>
      </c>
      <c r="AH39" s="8">
        <f t="shared" si="7"/>
        <v>16500</v>
      </c>
    </row>
    <row r="40" spans="1:34" ht="25" customHeight="1" outlineLevel="1" x14ac:dyDescent="0.35">
      <c r="B40" s="164"/>
      <c r="C40" s="164"/>
      <c r="D40" s="164"/>
      <c r="E40" s="3" t="s">
        <v>13</v>
      </c>
      <c r="F40" s="31" t="s">
        <v>17</v>
      </c>
      <c r="G40" s="35"/>
      <c r="H40" s="57">
        <f t="shared" si="1"/>
        <v>8486.0669534318313</v>
      </c>
      <c r="I40" s="57">
        <f t="shared" si="2"/>
        <v>2468.6740228165327</v>
      </c>
      <c r="J40" s="58">
        <f t="shared" si="3"/>
        <v>49.373480456330654</v>
      </c>
      <c r="K40" s="3"/>
      <c r="L40" s="42"/>
      <c r="U40" s="119" t="str" cm="1">
        <f t="array" ref="U40">IF(C40="",INDEX(C37:C40,MATCH(TRUE,INDEX((C37:C40&lt;&gt;""),0),0)),C40)</f>
        <v>Britoil 63</v>
      </c>
      <c r="V40" s="120">
        <f t="shared" si="4"/>
        <v>0.77146063213016647</v>
      </c>
      <c r="W40" s="120">
        <v>16000</v>
      </c>
      <c r="X40" s="120"/>
      <c r="Y40" s="120">
        <f t="shared" si="5"/>
        <v>16500</v>
      </c>
      <c r="Z40" s="121"/>
      <c r="AB40" s="8" t="s">
        <v>26</v>
      </c>
      <c r="AC40" s="118">
        <v>5400</v>
      </c>
      <c r="AD40" s="8">
        <v>70</v>
      </c>
      <c r="AE40" s="8" t="s">
        <v>209</v>
      </c>
      <c r="AF40" s="8">
        <v>13</v>
      </c>
      <c r="AG40" s="8">
        <v>0.89743589700000004</v>
      </c>
      <c r="AH40" s="8">
        <f t="shared" si="7"/>
        <v>16500</v>
      </c>
    </row>
    <row r="41" spans="1:34" ht="25" customHeight="1" outlineLevel="1" x14ac:dyDescent="0.35">
      <c r="B41" s="164"/>
      <c r="C41" s="164"/>
      <c r="D41" s="164"/>
      <c r="E41" s="3" t="s">
        <v>109</v>
      </c>
      <c r="F41" s="31" t="s">
        <v>21</v>
      </c>
      <c r="G41" s="35"/>
      <c r="H41" s="57" t="str">
        <f t="shared" si="1"/>
        <v/>
      </c>
      <c r="I41" s="57" t="str">
        <f t="shared" si="2"/>
        <v/>
      </c>
      <c r="J41" s="58" t="str">
        <f t="shared" si="3"/>
        <v/>
      </c>
      <c r="K41" s="3"/>
      <c r="L41" s="42"/>
      <c r="U41" s="119" t="str" cm="1">
        <f t="array" ref="U41">IF(C41="",INDEX(C38:C41,MATCH(TRUE,INDEX((C38:C41&lt;&gt;""),0),0)),C41)</f>
        <v>Britoil 63</v>
      </c>
      <c r="V41" s="120">
        <f t="shared" si="4"/>
        <v>0.77146063213016647</v>
      </c>
      <c r="W41" s="120">
        <v>16000</v>
      </c>
      <c r="X41" s="120"/>
      <c r="Y41" s="120">
        <f t="shared" si="5"/>
        <v>16500</v>
      </c>
      <c r="Z41" s="121"/>
      <c r="AB41" s="8" t="s">
        <v>27</v>
      </c>
      <c r="AC41" s="118">
        <v>7216</v>
      </c>
      <c r="AD41" s="8">
        <v>100</v>
      </c>
      <c r="AE41" s="8" t="s">
        <v>210</v>
      </c>
      <c r="AF41" s="8">
        <v>13.9</v>
      </c>
      <c r="AG41" s="8">
        <v>0.959406447</v>
      </c>
      <c r="AH41" s="8">
        <f t="shared" si="7"/>
        <v>22048.888888888891</v>
      </c>
    </row>
    <row r="42" spans="1:34" ht="25" customHeight="1" outlineLevel="1" x14ac:dyDescent="0.35">
      <c r="B42" s="164"/>
      <c r="C42" s="164"/>
      <c r="D42" s="164"/>
      <c r="E42" s="3" t="s">
        <v>309</v>
      </c>
      <c r="F42" s="31" t="s">
        <v>17</v>
      </c>
      <c r="G42" s="35">
        <v>45951</v>
      </c>
      <c r="H42" s="57">
        <f t="shared" si="1"/>
        <v>6171.6850570413317</v>
      </c>
      <c r="I42" s="57">
        <f t="shared" si="2"/>
        <v>3857.3031606508325</v>
      </c>
      <c r="J42" s="58">
        <f t="shared" si="3"/>
        <v>35.487189077987658</v>
      </c>
      <c r="K42" s="3"/>
      <c r="L42" s="42" t="s">
        <v>321</v>
      </c>
      <c r="U42" s="119" t="str" cm="1">
        <f t="array" ref="U42">IF(C42="",INDEX(C39:C42,MATCH(TRUE,INDEX((C39:C42&lt;&gt;""),0),0)),C42)</f>
        <v>Britoil 63</v>
      </c>
      <c r="V42" s="120">
        <f t="shared" ref="V42" si="8">MIN(Y42/21388,1.3)</f>
        <v>0.77146063213016647</v>
      </c>
      <c r="W42" s="120">
        <v>16001</v>
      </c>
      <c r="X42" s="120"/>
      <c r="Y42" s="120">
        <f t="shared" ref="Y42" si="9">INT(VLOOKUP(U42, $AB$30:$AH$101, 7, FALSE))</f>
        <v>16500</v>
      </c>
      <c r="Z42" s="121"/>
      <c r="AB42" s="8" t="s">
        <v>302</v>
      </c>
      <c r="AC42" s="118">
        <v>7216</v>
      </c>
      <c r="AD42" s="8">
        <v>100</v>
      </c>
      <c r="AE42" s="8" t="s">
        <v>210</v>
      </c>
      <c r="AF42" s="8">
        <v>13.9</v>
      </c>
      <c r="AG42" s="8">
        <v>0.959406447</v>
      </c>
      <c r="AH42" s="8">
        <f t="shared" ref="AH42" si="10">$AH$30 *AC42/ $AC$30</f>
        <v>22048.888888888891</v>
      </c>
    </row>
    <row r="43" spans="1:34" ht="25" customHeight="1" outlineLevel="1" x14ac:dyDescent="0.35">
      <c r="B43" s="164"/>
      <c r="C43" s="164"/>
      <c r="D43" s="164"/>
      <c r="E43" s="3" t="s">
        <v>106</v>
      </c>
      <c r="F43" s="31" t="s">
        <v>21</v>
      </c>
      <c r="G43" s="35"/>
      <c r="H43" s="57" t="str">
        <f t="shared" si="1"/>
        <v/>
      </c>
      <c r="I43" s="57" t="str">
        <f t="shared" si="2"/>
        <v/>
      </c>
      <c r="J43" s="58" t="str">
        <f t="shared" si="3"/>
        <v/>
      </c>
      <c r="K43" s="3"/>
      <c r="L43" s="42"/>
      <c r="U43" s="119" t="str" cm="1">
        <f t="array" ref="U43">IF(C43="",INDEX(C38:C43,MATCH(TRUE,INDEX((C38:C43&lt;&gt;""),0),0)),C43)</f>
        <v>Britoil 63</v>
      </c>
      <c r="V43" s="120">
        <f t="shared" si="4"/>
        <v>0.77146063213016647</v>
      </c>
      <c r="W43" s="120">
        <v>16000</v>
      </c>
      <c r="X43" s="120"/>
      <c r="Y43" s="120">
        <f t="shared" si="5"/>
        <v>16500</v>
      </c>
      <c r="Z43" s="121"/>
      <c r="AB43" s="8" t="s">
        <v>28</v>
      </c>
      <c r="AC43" s="118">
        <v>7216</v>
      </c>
      <c r="AD43" s="8">
        <v>100</v>
      </c>
      <c r="AE43" s="8" t="s">
        <v>210</v>
      </c>
      <c r="AF43" s="8">
        <v>13.9</v>
      </c>
      <c r="AG43" s="8">
        <v>0.959406447</v>
      </c>
      <c r="AH43" s="8">
        <f t="shared" si="7"/>
        <v>22048.888888888891</v>
      </c>
    </row>
    <row r="44" spans="1:34" ht="25" customHeight="1" outlineLevel="1" x14ac:dyDescent="0.35">
      <c r="B44" s="165"/>
      <c r="C44" s="165"/>
      <c r="D44" s="165"/>
      <c r="E44" s="4" t="s">
        <v>14</v>
      </c>
      <c r="F44" s="31" t="s">
        <v>17</v>
      </c>
      <c r="G44" s="35">
        <v>45748</v>
      </c>
      <c r="H44" s="57">
        <f t="shared" si="1"/>
        <v>1157.1909481952498</v>
      </c>
      <c r="I44" s="57">
        <f t="shared" si="2"/>
        <v>4783.0559192070323</v>
      </c>
      <c r="J44" s="58">
        <f t="shared" si="3"/>
        <v>6.1716850570413317</v>
      </c>
      <c r="K44" s="3"/>
      <c r="L44" s="43"/>
      <c r="U44" s="119" t="str" cm="1">
        <f t="array" ref="U44">IF(C44="",INDEX(C39:C44,MATCH(TRUE,INDEX((C39:C44&lt;&gt;""),0),0)),C44)</f>
        <v>Britoil 63</v>
      </c>
      <c r="V44" s="120">
        <f t="shared" si="4"/>
        <v>0.77146063213016647</v>
      </c>
      <c r="W44" s="120">
        <v>16000</v>
      </c>
      <c r="X44" s="120"/>
      <c r="Y44" s="120">
        <f t="shared" si="5"/>
        <v>16500</v>
      </c>
      <c r="Z44" s="121"/>
      <c r="AB44" s="8" t="s">
        <v>29</v>
      </c>
      <c r="AC44" s="118">
        <v>7216</v>
      </c>
      <c r="AD44" s="8">
        <v>100</v>
      </c>
      <c r="AE44" s="8" t="s">
        <v>210</v>
      </c>
      <c r="AF44" s="8">
        <v>13.9</v>
      </c>
      <c r="AG44" s="8">
        <v>0.959406447</v>
      </c>
      <c r="AH44" s="8">
        <f t="shared" si="7"/>
        <v>22048.888888888891</v>
      </c>
    </row>
    <row r="45" spans="1:34" ht="30" customHeight="1" x14ac:dyDescent="0.35">
      <c r="A45" s="8" t="s">
        <v>133</v>
      </c>
      <c r="B45" s="160">
        <v>8</v>
      </c>
      <c r="C45" s="160" t="s">
        <v>23</v>
      </c>
      <c r="D45" s="160" t="s">
        <v>12</v>
      </c>
      <c r="E45" s="27" t="s">
        <v>102</v>
      </c>
      <c r="F45" s="32"/>
      <c r="G45" s="36"/>
      <c r="H45" s="59" t="str">
        <f t="shared" si="1"/>
        <v/>
      </c>
      <c r="I45" s="59" t="str">
        <f t="shared" si="2"/>
        <v/>
      </c>
      <c r="J45" s="60" t="str">
        <f t="shared" si="3"/>
        <v/>
      </c>
      <c r="K45" s="5"/>
      <c r="L45" s="44"/>
      <c r="U45" s="119" t="str" cm="1">
        <f t="array" ref="U45">IF(C45="",INDEX(C40:C45,MATCH(TRUE,INDEX((C40:C45&lt;&gt;""),0),0)),C45)</f>
        <v>Britoil 64</v>
      </c>
      <c r="V45" s="120">
        <f t="shared" si="4"/>
        <v>0.77146063213016647</v>
      </c>
      <c r="W45" s="120">
        <v>16000</v>
      </c>
      <c r="X45" s="120"/>
      <c r="Y45" s="120">
        <f t="shared" si="5"/>
        <v>16500</v>
      </c>
      <c r="Z45" s="121"/>
      <c r="AB45" s="8" t="s">
        <v>30</v>
      </c>
      <c r="AC45" s="118">
        <v>7268</v>
      </c>
      <c r="AD45" s="8">
        <v>100</v>
      </c>
      <c r="AE45" s="8" t="s">
        <v>211</v>
      </c>
      <c r="AF45" s="8">
        <v>13.8</v>
      </c>
      <c r="AG45" s="8">
        <v>0.95254222899999996</v>
      </c>
      <c r="AH45" s="8">
        <f t="shared" si="7"/>
        <v>22207.777777777777</v>
      </c>
    </row>
    <row r="46" spans="1:34" ht="25" customHeight="1" outlineLevel="1" x14ac:dyDescent="0.35">
      <c r="B46" s="161"/>
      <c r="C46" s="161"/>
      <c r="D46" s="161"/>
      <c r="E46" s="6" t="s">
        <v>13</v>
      </c>
      <c r="F46" s="32" t="s">
        <v>17</v>
      </c>
      <c r="G46" s="37"/>
      <c r="H46" s="61">
        <f t="shared" si="1"/>
        <v>8486.0669534318313</v>
      </c>
      <c r="I46" s="61">
        <f t="shared" si="2"/>
        <v>2468.6740228165327</v>
      </c>
      <c r="J46" s="62">
        <f t="shared" si="3"/>
        <v>49.373480456330654</v>
      </c>
      <c r="K46" s="6"/>
      <c r="L46" s="45"/>
      <c r="U46" s="119" t="str" cm="1">
        <f t="array" ref="U46">IF(C46="",INDEX(C43:C46,MATCH(TRUE,INDEX((C43:C46&lt;&gt;""),0),0)),C46)</f>
        <v>Britoil 64</v>
      </c>
      <c r="V46" s="120">
        <f t="shared" si="4"/>
        <v>0.77146063213016647</v>
      </c>
      <c r="W46" s="120">
        <v>16000</v>
      </c>
      <c r="X46" s="120"/>
      <c r="Y46" s="120">
        <f t="shared" si="5"/>
        <v>16500</v>
      </c>
      <c r="Z46" s="121"/>
      <c r="AB46" s="8" t="s">
        <v>31</v>
      </c>
      <c r="AC46" s="118">
        <v>7268</v>
      </c>
      <c r="AD46" s="8">
        <v>100</v>
      </c>
      <c r="AE46" s="8" t="s">
        <v>211</v>
      </c>
      <c r="AF46" s="8">
        <v>13.8</v>
      </c>
      <c r="AG46" s="8">
        <v>0.95254222899999996</v>
      </c>
      <c r="AH46" s="8">
        <f t="shared" si="7"/>
        <v>22207.777777777777</v>
      </c>
    </row>
    <row r="47" spans="1:34" ht="25" customHeight="1" outlineLevel="1" x14ac:dyDescent="0.35">
      <c r="B47" s="161"/>
      <c r="C47" s="161"/>
      <c r="D47" s="161"/>
      <c r="E47" s="6" t="s">
        <v>109</v>
      </c>
      <c r="F47" s="32" t="s">
        <v>21</v>
      </c>
      <c r="G47" s="37"/>
      <c r="H47" s="61" t="str">
        <f t="shared" si="1"/>
        <v/>
      </c>
      <c r="I47" s="61" t="str">
        <f t="shared" si="2"/>
        <v/>
      </c>
      <c r="J47" s="62" t="str">
        <f t="shared" si="3"/>
        <v/>
      </c>
      <c r="K47" s="6"/>
      <c r="L47" s="45"/>
      <c r="U47" s="119" t="str" cm="1">
        <f t="array" ref="U47">IF(C47="",INDEX(C44:C47,MATCH(TRUE,INDEX((C44:C47&lt;&gt;""),0),0)),C47)</f>
        <v>Britoil 64</v>
      </c>
      <c r="V47" s="120">
        <f t="shared" si="4"/>
        <v>0.77146063213016647</v>
      </c>
      <c r="W47" s="120">
        <v>16000</v>
      </c>
      <c r="X47" s="120"/>
      <c r="Y47" s="120">
        <f t="shared" si="5"/>
        <v>16500</v>
      </c>
      <c r="Z47" s="121"/>
      <c r="AB47" s="8" t="s">
        <v>33</v>
      </c>
      <c r="AC47" s="118">
        <v>8000</v>
      </c>
      <c r="AD47" s="8">
        <v>110</v>
      </c>
      <c r="AE47" s="8" t="s">
        <v>212</v>
      </c>
      <c r="AF47" s="8">
        <v>13.8</v>
      </c>
      <c r="AG47" s="8">
        <v>0.95192307700000001</v>
      </c>
      <c r="AH47" s="8">
        <f t="shared" si="7"/>
        <v>24444.444444444445</v>
      </c>
    </row>
    <row r="48" spans="1:34" ht="25" customHeight="1" outlineLevel="1" x14ac:dyDescent="0.35">
      <c r="B48" s="161"/>
      <c r="C48" s="161"/>
      <c r="D48" s="161"/>
      <c r="E48" s="6" t="s">
        <v>106</v>
      </c>
      <c r="F48" s="32" t="s">
        <v>21</v>
      </c>
      <c r="G48" s="37"/>
      <c r="H48" s="61" t="str">
        <f t="shared" si="1"/>
        <v/>
      </c>
      <c r="I48" s="61" t="str">
        <f t="shared" si="2"/>
        <v/>
      </c>
      <c r="J48" s="62" t="str">
        <f t="shared" si="3"/>
        <v/>
      </c>
      <c r="K48" s="6"/>
      <c r="L48" s="45"/>
      <c r="U48" s="119" t="str" cm="1">
        <f t="array" ref="U48">IF(C48="",INDEX(C44:C48,MATCH(TRUE,INDEX((C44:C48&lt;&gt;""),0),0)),C48)</f>
        <v>Britoil 64</v>
      </c>
      <c r="V48" s="120">
        <f t="shared" si="4"/>
        <v>0.77146063213016647</v>
      </c>
      <c r="W48" s="120">
        <v>16000</v>
      </c>
      <c r="X48" s="120"/>
      <c r="Y48" s="120">
        <f t="shared" si="5"/>
        <v>16500</v>
      </c>
      <c r="Z48" s="121"/>
      <c r="AB48" s="8" t="s">
        <v>35</v>
      </c>
      <c r="AC48" s="118">
        <v>8000</v>
      </c>
      <c r="AD48" s="8">
        <v>110</v>
      </c>
      <c r="AE48" s="8" t="s">
        <v>212</v>
      </c>
      <c r="AF48" s="8">
        <v>13.8</v>
      </c>
      <c r="AG48" s="8">
        <v>0.95192307700000001</v>
      </c>
      <c r="AH48" s="8">
        <f t="shared" si="7"/>
        <v>24444.444444444445</v>
      </c>
    </row>
    <row r="49" spans="1:34" ht="25" customHeight="1" outlineLevel="1" x14ac:dyDescent="0.35">
      <c r="B49" s="162"/>
      <c r="C49" s="162"/>
      <c r="D49" s="162"/>
      <c r="E49" s="7" t="s">
        <v>14</v>
      </c>
      <c r="F49" s="32" t="s">
        <v>32</v>
      </c>
      <c r="G49" s="38"/>
      <c r="H49" s="63" t="str">
        <f t="shared" si="1"/>
        <v/>
      </c>
      <c r="I49" s="63" t="str">
        <f t="shared" si="2"/>
        <v/>
      </c>
      <c r="J49" s="64" t="str">
        <f t="shared" si="3"/>
        <v/>
      </c>
      <c r="K49" s="7"/>
      <c r="L49" s="46"/>
      <c r="U49" s="119" t="str" cm="1">
        <f t="array" ref="U49">IF(C49="",INDEX(C45:C49,MATCH(TRUE,INDEX((C45:C49&lt;&gt;""),0),0)),C49)</f>
        <v>Britoil 64</v>
      </c>
      <c r="V49" s="120">
        <f t="shared" si="4"/>
        <v>0.77146063213016647</v>
      </c>
      <c r="W49" s="120">
        <v>16000</v>
      </c>
      <c r="X49" s="120"/>
      <c r="Y49" s="120">
        <f t="shared" si="5"/>
        <v>16500</v>
      </c>
      <c r="Z49" s="121"/>
      <c r="AB49" s="8" t="s">
        <v>36</v>
      </c>
      <c r="AC49" s="118">
        <v>8000</v>
      </c>
      <c r="AD49" s="8">
        <v>106</v>
      </c>
      <c r="AE49" s="8" t="s">
        <v>213</v>
      </c>
      <c r="AF49" s="8">
        <v>13.3</v>
      </c>
      <c r="AG49" s="8">
        <v>0.91730769199999995</v>
      </c>
      <c r="AH49" s="8">
        <f t="shared" si="7"/>
        <v>24444.444444444445</v>
      </c>
    </row>
    <row r="50" spans="1:34" ht="30" customHeight="1" x14ac:dyDescent="0.35">
      <c r="A50" s="8" t="s">
        <v>133</v>
      </c>
      <c r="B50" s="163">
        <v>9</v>
      </c>
      <c r="C50" s="163" t="s">
        <v>24</v>
      </c>
      <c r="D50" s="163" t="s">
        <v>12</v>
      </c>
      <c r="E50" s="26" t="s">
        <v>102</v>
      </c>
      <c r="F50" s="31"/>
      <c r="G50" s="35"/>
      <c r="H50" s="57" t="str">
        <f t="shared" si="1"/>
        <v/>
      </c>
      <c r="I50" s="57" t="str">
        <f t="shared" si="2"/>
        <v/>
      </c>
      <c r="J50" s="58" t="str">
        <f t="shared" si="3"/>
        <v/>
      </c>
      <c r="K50" s="3"/>
      <c r="L50" s="41"/>
      <c r="U50" s="119" t="str" cm="1">
        <f t="array" ref="U50">IF(C50="",INDEX(C46:C50,MATCH(TRUE,INDEX((C46:C50&lt;&gt;""),0),0)),C50)</f>
        <v>Britoil 65</v>
      </c>
      <c r="V50" s="120">
        <f t="shared" si="4"/>
        <v>0.77146063213016647</v>
      </c>
      <c r="W50" s="120">
        <v>16000</v>
      </c>
      <c r="X50" s="120"/>
      <c r="Y50" s="120">
        <f t="shared" si="5"/>
        <v>16500</v>
      </c>
      <c r="Z50" s="121"/>
      <c r="AB50" s="8" t="s">
        <v>37</v>
      </c>
      <c r="AC50" s="118">
        <v>12240</v>
      </c>
      <c r="AD50" s="8">
        <v>155</v>
      </c>
      <c r="AE50" s="8" t="s">
        <v>214</v>
      </c>
      <c r="AF50" s="8">
        <v>12.7</v>
      </c>
      <c r="AG50" s="8">
        <v>0.87669683300000001</v>
      </c>
      <c r="AH50" s="8">
        <f t="shared" si="7"/>
        <v>37400</v>
      </c>
    </row>
    <row r="51" spans="1:34" ht="25" customHeight="1" outlineLevel="1" x14ac:dyDescent="0.35">
      <c r="B51" s="164"/>
      <c r="C51" s="164"/>
      <c r="D51" s="164"/>
      <c r="E51" s="3" t="s">
        <v>13</v>
      </c>
      <c r="F51" s="31" t="s">
        <v>17</v>
      </c>
      <c r="G51" s="35"/>
      <c r="H51" s="57">
        <f t="shared" si="1"/>
        <v>8486.0669534318313</v>
      </c>
      <c r="I51" s="57">
        <f t="shared" si="2"/>
        <v>2468.6740228165327</v>
      </c>
      <c r="J51" s="58">
        <f t="shared" si="3"/>
        <v>49.373480456330654</v>
      </c>
      <c r="K51" s="3"/>
      <c r="L51" s="42"/>
      <c r="U51" s="119" t="str" cm="1">
        <f t="array" ref="U51">IF(C51="",INDEX(C48:C51,MATCH(TRUE,INDEX((C48:C51&lt;&gt;""),0),0)),C51)</f>
        <v>Britoil 65</v>
      </c>
      <c r="V51" s="120">
        <f t="shared" si="4"/>
        <v>0.77146063213016647</v>
      </c>
      <c r="W51" s="120">
        <v>16000</v>
      </c>
      <c r="X51" s="120"/>
      <c r="Y51" s="120">
        <f t="shared" si="5"/>
        <v>16500</v>
      </c>
      <c r="Z51" s="121"/>
      <c r="AB51" s="8" t="s">
        <v>39</v>
      </c>
      <c r="AC51" s="118">
        <v>12240</v>
      </c>
      <c r="AD51" s="8">
        <v>155</v>
      </c>
      <c r="AE51" s="8" t="s">
        <v>214</v>
      </c>
      <c r="AF51" s="8">
        <v>12.7</v>
      </c>
      <c r="AG51" s="8">
        <v>0.87669683300000001</v>
      </c>
      <c r="AH51" s="8">
        <f t="shared" si="7"/>
        <v>37400</v>
      </c>
    </row>
    <row r="52" spans="1:34" ht="25" customHeight="1" outlineLevel="1" x14ac:dyDescent="0.35">
      <c r="B52" s="164"/>
      <c r="C52" s="164"/>
      <c r="D52" s="164"/>
      <c r="E52" s="3" t="s">
        <v>109</v>
      </c>
      <c r="F52" s="31" t="s">
        <v>21</v>
      </c>
      <c r="G52" s="35"/>
      <c r="H52" s="57" t="str">
        <f t="shared" si="1"/>
        <v/>
      </c>
      <c r="I52" s="57" t="str">
        <f t="shared" si="2"/>
        <v/>
      </c>
      <c r="J52" s="58" t="str">
        <f t="shared" si="3"/>
        <v/>
      </c>
      <c r="K52" s="3"/>
      <c r="L52" s="42"/>
      <c r="U52" s="119" t="str" cm="1">
        <f t="array" ref="U52">IF(C52="",INDEX(C49:C52,MATCH(TRUE,INDEX((C49:C52&lt;&gt;""),0),0)),C52)</f>
        <v>Britoil 65</v>
      </c>
      <c r="V52" s="120">
        <f t="shared" si="4"/>
        <v>0.77146063213016647</v>
      </c>
      <c r="W52" s="120">
        <v>16000</v>
      </c>
      <c r="X52" s="120"/>
      <c r="Y52" s="120">
        <f t="shared" si="5"/>
        <v>16500</v>
      </c>
      <c r="Z52" s="121"/>
      <c r="AB52" s="8" t="s">
        <v>255</v>
      </c>
      <c r="AC52" s="118">
        <v>9000</v>
      </c>
      <c r="AD52" s="8">
        <v>85</v>
      </c>
      <c r="AE52" s="8" t="s">
        <v>215</v>
      </c>
      <c r="AF52" s="8">
        <v>9.4</v>
      </c>
      <c r="AG52" s="8">
        <v>0.65384615400000001</v>
      </c>
      <c r="AH52" s="8">
        <f t="shared" si="7"/>
        <v>27500</v>
      </c>
    </row>
    <row r="53" spans="1:34" ht="25" customHeight="1" outlineLevel="1" x14ac:dyDescent="0.35">
      <c r="B53" s="164"/>
      <c r="C53" s="164"/>
      <c r="D53" s="164"/>
      <c r="E53" s="3" t="s">
        <v>106</v>
      </c>
      <c r="F53" s="31" t="s">
        <v>21</v>
      </c>
      <c r="G53" s="35"/>
      <c r="H53" s="57" t="str">
        <f t="shared" si="1"/>
        <v/>
      </c>
      <c r="I53" s="57" t="str">
        <f t="shared" si="2"/>
        <v/>
      </c>
      <c r="J53" s="58" t="str">
        <f t="shared" si="3"/>
        <v/>
      </c>
      <c r="K53" s="3"/>
      <c r="L53" s="42"/>
      <c r="U53" s="119" t="str" cm="1">
        <f t="array" ref="U53">IF(C53="",INDEX(C49:C53,MATCH(TRUE,INDEX((C49:C53&lt;&gt;""),0),0)),C53)</f>
        <v>Britoil 65</v>
      </c>
      <c r="V53" s="120">
        <f t="shared" si="4"/>
        <v>0.77146063213016647</v>
      </c>
      <c r="W53" s="120">
        <v>16000</v>
      </c>
      <c r="X53" s="120"/>
      <c r="Y53" s="120">
        <f t="shared" si="5"/>
        <v>16500</v>
      </c>
      <c r="Z53" s="121"/>
      <c r="AB53" s="8" t="s">
        <v>40</v>
      </c>
      <c r="AC53" s="118">
        <v>6866</v>
      </c>
      <c r="AD53" s="8">
        <v>90.5</v>
      </c>
      <c r="AE53" s="8" t="s">
        <v>216</v>
      </c>
      <c r="AF53" s="8">
        <v>13.2</v>
      </c>
      <c r="AG53" s="8">
        <v>0.91252324699999998</v>
      </c>
      <c r="AH53" s="8">
        <f t="shared" si="7"/>
        <v>20979.444444444445</v>
      </c>
    </row>
    <row r="54" spans="1:34" ht="25" customHeight="1" outlineLevel="1" x14ac:dyDescent="0.35">
      <c r="B54" s="165"/>
      <c r="C54" s="165"/>
      <c r="D54" s="165"/>
      <c r="E54" s="4" t="s">
        <v>14</v>
      </c>
      <c r="F54" s="31" t="s">
        <v>32</v>
      </c>
      <c r="G54" s="35"/>
      <c r="H54" s="57" t="str">
        <f t="shared" si="1"/>
        <v/>
      </c>
      <c r="I54" s="57" t="str">
        <f t="shared" si="2"/>
        <v/>
      </c>
      <c r="J54" s="58" t="str">
        <f t="shared" si="3"/>
        <v/>
      </c>
      <c r="K54" s="3"/>
      <c r="L54" s="43"/>
      <c r="U54" s="119" t="str" cm="1">
        <f t="array" ref="U54">IF(C54="",INDEX(C50:C54,MATCH(TRUE,INDEX((C50:C54&lt;&gt;""),0),0)),C54)</f>
        <v>Britoil 65</v>
      </c>
      <c r="V54" s="120">
        <f t="shared" si="4"/>
        <v>0.77146063213016647</v>
      </c>
      <c r="W54" s="120">
        <v>16000</v>
      </c>
      <c r="X54" s="120"/>
      <c r="Y54" s="120">
        <f t="shared" si="5"/>
        <v>16500</v>
      </c>
      <c r="Z54" s="121"/>
      <c r="AB54" s="8" t="s">
        <v>42</v>
      </c>
      <c r="AC54" s="118">
        <v>7000</v>
      </c>
      <c r="AD54" s="8">
        <v>90</v>
      </c>
      <c r="AE54" s="8" t="s">
        <v>217</v>
      </c>
      <c r="AF54" s="8">
        <v>12.9</v>
      </c>
      <c r="AG54" s="8">
        <v>0.89010988999999996</v>
      </c>
      <c r="AH54" s="8">
        <f t="shared" si="7"/>
        <v>21388.888888888891</v>
      </c>
    </row>
    <row r="55" spans="1:34" ht="30" customHeight="1" x14ac:dyDescent="0.35">
      <c r="A55" s="8" t="s">
        <v>133</v>
      </c>
      <c r="B55" s="160">
        <v>10</v>
      </c>
      <c r="C55" s="160" t="s">
        <v>25</v>
      </c>
      <c r="D55" s="160" t="s">
        <v>12</v>
      </c>
      <c r="E55" s="27" t="s">
        <v>102</v>
      </c>
      <c r="F55" s="32"/>
      <c r="G55" s="36"/>
      <c r="H55" s="59" t="str">
        <f t="shared" si="1"/>
        <v/>
      </c>
      <c r="I55" s="59" t="str">
        <f t="shared" si="2"/>
        <v/>
      </c>
      <c r="J55" s="60" t="str">
        <f t="shared" si="3"/>
        <v/>
      </c>
      <c r="K55" s="5"/>
      <c r="L55" s="44"/>
      <c r="U55" s="119" t="str" cm="1">
        <f t="array" ref="U55">IF(C55="",INDEX(C51:C55,MATCH(TRUE,INDEX((C51:C55&lt;&gt;""),0),0)),C55)</f>
        <v>Britoil 66</v>
      </c>
      <c r="V55" s="120">
        <f t="shared" si="4"/>
        <v>0.77146063213016647</v>
      </c>
      <c r="W55" s="120">
        <v>16000</v>
      </c>
      <c r="X55" s="120"/>
      <c r="Y55" s="120">
        <f t="shared" si="5"/>
        <v>16500</v>
      </c>
      <c r="Z55" s="121"/>
      <c r="AB55" s="8" t="s">
        <v>43</v>
      </c>
      <c r="AC55" s="118">
        <v>6866</v>
      </c>
      <c r="AD55" s="8">
        <v>90.2</v>
      </c>
      <c r="AE55" s="8" t="s">
        <v>216</v>
      </c>
      <c r="AF55" s="8">
        <v>13.1</v>
      </c>
      <c r="AG55" s="8">
        <v>0.90949830799999998</v>
      </c>
      <c r="AH55" s="8">
        <f t="shared" si="7"/>
        <v>20979.444444444445</v>
      </c>
    </row>
    <row r="56" spans="1:34" ht="25" customHeight="1" outlineLevel="1" x14ac:dyDescent="0.35">
      <c r="B56" s="161"/>
      <c r="C56" s="161"/>
      <c r="D56" s="161"/>
      <c r="E56" s="6" t="s">
        <v>13</v>
      </c>
      <c r="F56" s="32" t="s">
        <v>17</v>
      </c>
      <c r="G56" s="37"/>
      <c r="H56" s="61">
        <f t="shared" si="1"/>
        <v>8486.0669534318313</v>
      </c>
      <c r="I56" s="61">
        <f t="shared" si="2"/>
        <v>2468.6740228165327</v>
      </c>
      <c r="J56" s="62">
        <f t="shared" si="3"/>
        <v>49.373480456330654</v>
      </c>
      <c r="K56" s="6"/>
      <c r="L56" s="45"/>
      <c r="U56" s="119" t="str" cm="1">
        <f t="array" ref="U56">IF(C56="",INDEX(C53:C56,MATCH(TRUE,INDEX((C53:C56&lt;&gt;""),0),0)),C56)</f>
        <v>Britoil 66</v>
      </c>
      <c r="V56" s="120">
        <f t="shared" si="4"/>
        <v>0.77146063213016647</v>
      </c>
      <c r="W56" s="120">
        <v>16000</v>
      </c>
      <c r="X56" s="120"/>
      <c r="Y56" s="120">
        <f t="shared" si="5"/>
        <v>16500</v>
      </c>
      <c r="Z56" s="121"/>
      <c r="AB56" s="8" t="s">
        <v>305</v>
      </c>
      <c r="AC56" s="118">
        <v>8000</v>
      </c>
      <c r="AD56" s="8">
        <v>116</v>
      </c>
      <c r="AE56" s="8" t="s">
        <v>218</v>
      </c>
      <c r="AF56" s="8">
        <v>14.5</v>
      </c>
      <c r="AG56" s="8">
        <v>1.0038461540000001</v>
      </c>
      <c r="AH56" s="8">
        <f t="shared" si="7"/>
        <v>24444.444444444445</v>
      </c>
    </row>
    <row r="57" spans="1:34" ht="25" customHeight="1" outlineLevel="1" x14ac:dyDescent="0.35">
      <c r="B57" s="161"/>
      <c r="C57" s="161"/>
      <c r="D57" s="161"/>
      <c r="E57" s="6" t="s">
        <v>109</v>
      </c>
      <c r="F57" s="32" t="s">
        <v>21</v>
      </c>
      <c r="G57" s="37"/>
      <c r="H57" s="61" t="str">
        <f t="shared" si="1"/>
        <v/>
      </c>
      <c r="I57" s="61" t="str">
        <f t="shared" si="2"/>
        <v/>
      </c>
      <c r="J57" s="62" t="str">
        <f t="shared" si="3"/>
        <v/>
      </c>
      <c r="K57" s="6"/>
      <c r="L57" s="45"/>
      <c r="U57" s="119" t="str" cm="1">
        <f t="array" ref="U57">IF(C57="",INDEX(C54:C57,MATCH(TRUE,INDEX((C54:C57&lt;&gt;""),0),0)),C57)</f>
        <v>Britoil 66</v>
      </c>
      <c r="V57" s="120">
        <f t="shared" si="4"/>
        <v>0.77146063213016647</v>
      </c>
      <c r="W57" s="120">
        <v>16000</v>
      </c>
      <c r="X57" s="120"/>
      <c r="Y57" s="120">
        <f t="shared" si="5"/>
        <v>16500</v>
      </c>
      <c r="Z57" s="121"/>
      <c r="AB57" s="8" t="s">
        <v>46</v>
      </c>
      <c r="AC57" s="118">
        <v>5150</v>
      </c>
      <c r="AD57" s="8">
        <v>65</v>
      </c>
      <c r="AE57" s="8" t="s">
        <v>219</v>
      </c>
      <c r="AF57" s="8">
        <v>12.6</v>
      </c>
      <c r="AG57" s="8">
        <v>0.87378640799999996</v>
      </c>
      <c r="AH57" s="8">
        <f t="shared" si="7"/>
        <v>15736.111111111111</v>
      </c>
    </row>
    <row r="58" spans="1:34" ht="25" customHeight="1" outlineLevel="1" x14ac:dyDescent="0.35">
      <c r="B58" s="161"/>
      <c r="C58" s="161"/>
      <c r="D58" s="161"/>
      <c r="E58" s="6" t="s">
        <v>106</v>
      </c>
      <c r="F58" s="32" t="s">
        <v>21</v>
      </c>
      <c r="G58" s="37"/>
      <c r="H58" s="61" t="str">
        <f t="shared" si="1"/>
        <v/>
      </c>
      <c r="I58" s="61" t="str">
        <f t="shared" si="2"/>
        <v/>
      </c>
      <c r="J58" s="62" t="str">
        <f t="shared" si="3"/>
        <v/>
      </c>
      <c r="K58" s="6"/>
      <c r="L58" s="45"/>
      <c r="U58" s="119" t="str" cm="1">
        <f t="array" ref="U58">IF(C58="",INDEX(C54:C58,MATCH(TRUE,INDEX((C54:C58&lt;&gt;""),0),0)),C58)</f>
        <v>Britoil 66</v>
      </c>
      <c r="V58" s="120">
        <f t="shared" si="4"/>
        <v>0.77146063213016647</v>
      </c>
      <c r="W58" s="120">
        <v>16000</v>
      </c>
      <c r="X58" s="120"/>
      <c r="Y58" s="120">
        <f t="shared" si="5"/>
        <v>16500</v>
      </c>
      <c r="Z58" s="121"/>
      <c r="AB58" s="8" t="s">
        <v>47</v>
      </c>
      <c r="AC58" s="118">
        <v>5150</v>
      </c>
      <c r="AD58" s="8">
        <v>66</v>
      </c>
      <c r="AE58" s="8" t="s">
        <v>219</v>
      </c>
      <c r="AF58" s="8">
        <v>12.8</v>
      </c>
      <c r="AG58" s="8">
        <v>0.88722927600000001</v>
      </c>
      <c r="AH58" s="8">
        <f t="shared" si="7"/>
        <v>15736.111111111111</v>
      </c>
    </row>
    <row r="59" spans="1:34" ht="25" customHeight="1" outlineLevel="1" x14ac:dyDescent="0.35">
      <c r="B59" s="162"/>
      <c r="C59" s="162"/>
      <c r="D59" s="162"/>
      <c r="E59" s="7" t="s">
        <v>14</v>
      </c>
      <c r="F59" s="32" t="s">
        <v>17</v>
      </c>
      <c r="G59" s="38">
        <v>45784</v>
      </c>
      <c r="H59" s="63">
        <f t="shared" si="1"/>
        <v>1157.1909481952498</v>
      </c>
      <c r="I59" s="63">
        <f t="shared" si="2"/>
        <v>4783.0559192070323</v>
      </c>
      <c r="J59" s="64">
        <f t="shared" si="3"/>
        <v>6.1716850570413317</v>
      </c>
      <c r="K59" s="7"/>
      <c r="L59" s="46"/>
      <c r="U59" s="119" t="str" cm="1">
        <f t="array" ref="U59">IF(C59="",INDEX(C55:C59,MATCH(TRUE,INDEX((C55:C59&lt;&gt;""),0),0)),C59)</f>
        <v>Britoil 66</v>
      </c>
      <c r="V59" s="120">
        <f t="shared" si="4"/>
        <v>0.77146063213016647</v>
      </c>
      <c r="W59" s="120">
        <v>16000</v>
      </c>
      <c r="X59" s="120"/>
      <c r="Y59" s="120">
        <f t="shared" si="5"/>
        <v>16500</v>
      </c>
      <c r="Z59" s="121"/>
      <c r="AB59" s="8" t="s">
        <v>48</v>
      </c>
      <c r="AC59" s="118">
        <v>5150</v>
      </c>
      <c r="AD59" s="8">
        <v>65</v>
      </c>
      <c r="AE59" s="8" t="s">
        <v>219</v>
      </c>
      <c r="AF59" s="8">
        <v>12.6</v>
      </c>
      <c r="AG59" s="8">
        <v>0.87378640799999996</v>
      </c>
      <c r="AH59" s="8">
        <f t="shared" si="7"/>
        <v>15736.111111111111</v>
      </c>
    </row>
    <row r="60" spans="1:34" ht="30" customHeight="1" x14ac:dyDescent="0.35">
      <c r="A60" s="8" t="s">
        <v>133</v>
      </c>
      <c r="B60" s="163">
        <v>11</v>
      </c>
      <c r="C60" s="163" t="s">
        <v>26</v>
      </c>
      <c r="D60" s="163" t="s">
        <v>12</v>
      </c>
      <c r="E60" s="26" t="s">
        <v>102</v>
      </c>
      <c r="F60" s="31"/>
      <c r="G60" s="35"/>
      <c r="H60" s="57" t="str">
        <f t="shared" si="1"/>
        <v/>
      </c>
      <c r="I60" s="57" t="str">
        <f t="shared" si="2"/>
        <v/>
      </c>
      <c r="J60" s="58" t="str">
        <f t="shared" si="3"/>
        <v/>
      </c>
      <c r="K60" s="163" t="s">
        <v>165</v>
      </c>
      <c r="L60" s="41"/>
      <c r="U60" s="119" t="str" cm="1">
        <f t="array" ref="U60">IF(C60="",INDEX(C56:C60,MATCH(TRUE,INDEX((C56:C60&lt;&gt;""),0),0)),C60)</f>
        <v>Britoil 67</v>
      </c>
      <c r="V60" s="120">
        <f t="shared" si="4"/>
        <v>0.77146063213016647</v>
      </c>
      <c r="W60" s="120">
        <v>16000</v>
      </c>
      <c r="X60" s="120"/>
      <c r="Y60" s="120">
        <f t="shared" si="5"/>
        <v>16500</v>
      </c>
      <c r="Z60" s="121"/>
      <c r="AB60" s="8" t="s">
        <v>50</v>
      </c>
      <c r="AC60" s="118">
        <v>5150</v>
      </c>
      <c r="AD60" s="8">
        <v>70</v>
      </c>
      <c r="AE60" s="8" t="s">
        <v>219</v>
      </c>
      <c r="AF60" s="8">
        <v>13.6</v>
      </c>
      <c r="AG60" s="8">
        <v>0.94100074700000003</v>
      </c>
      <c r="AH60" s="8">
        <f t="shared" si="7"/>
        <v>15736.111111111111</v>
      </c>
    </row>
    <row r="61" spans="1:34" ht="25" customHeight="1" outlineLevel="1" x14ac:dyDescent="0.35">
      <c r="B61" s="164"/>
      <c r="C61" s="164"/>
      <c r="D61" s="164"/>
      <c r="E61" s="3" t="s">
        <v>13</v>
      </c>
      <c r="F61" s="31" t="s">
        <v>17</v>
      </c>
      <c r="G61" s="35"/>
      <c r="H61" s="57">
        <f t="shared" si="1"/>
        <v>8486.0669534318313</v>
      </c>
      <c r="I61" s="57">
        <f t="shared" si="2"/>
        <v>2468.6740228165327</v>
      </c>
      <c r="J61" s="58">
        <f t="shared" si="3"/>
        <v>49.373480456330654</v>
      </c>
      <c r="K61" s="164"/>
      <c r="L61" s="42" t="s">
        <v>166</v>
      </c>
      <c r="U61" s="119" t="str" cm="1">
        <f t="array" ref="U61">IF(C61="",INDEX(C58:C61,MATCH(TRUE,INDEX((C58:C61&lt;&gt;""),0),0)),C61)</f>
        <v>Britoil 67</v>
      </c>
      <c r="V61" s="120">
        <f t="shared" si="4"/>
        <v>0.77146063213016647</v>
      </c>
      <c r="W61" s="120">
        <v>16000</v>
      </c>
      <c r="X61" s="120"/>
      <c r="Y61" s="120">
        <f t="shared" si="5"/>
        <v>16500</v>
      </c>
      <c r="Z61" s="121"/>
      <c r="AB61" s="8" t="s">
        <v>51</v>
      </c>
      <c r="AC61" s="118">
        <v>6500</v>
      </c>
      <c r="AD61" s="8">
        <v>88</v>
      </c>
      <c r="AE61" s="8" t="s">
        <v>220</v>
      </c>
      <c r="AF61" s="8">
        <v>13.5</v>
      </c>
      <c r="AG61" s="8">
        <v>0.93727810700000003</v>
      </c>
      <c r="AH61" s="8">
        <f t="shared" si="7"/>
        <v>19861.111111111109</v>
      </c>
    </row>
    <row r="62" spans="1:34" ht="25" customHeight="1" outlineLevel="1" x14ac:dyDescent="0.35">
      <c r="B62" s="164"/>
      <c r="C62" s="164"/>
      <c r="D62" s="164"/>
      <c r="E62" s="3" t="s">
        <v>109</v>
      </c>
      <c r="F62" s="31" t="s">
        <v>21</v>
      </c>
      <c r="G62" s="35"/>
      <c r="H62" s="57" t="str">
        <f t="shared" si="1"/>
        <v/>
      </c>
      <c r="I62" s="57" t="str">
        <f t="shared" si="2"/>
        <v/>
      </c>
      <c r="J62" s="58" t="str">
        <f t="shared" si="3"/>
        <v/>
      </c>
      <c r="K62" s="164"/>
      <c r="L62" s="42"/>
      <c r="U62" s="119" t="str" cm="1">
        <f t="array" ref="U62">IF(C62="",INDEX(C59:C62,MATCH(TRUE,INDEX((C59:C62&lt;&gt;""),0),0)),C62)</f>
        <v>Britoil 67</v>
      </c>
      <c r="V62" s="120">
        <f t="shared" si="4"/>
        <v>0.77146063213016647</v>
      </c>
      <c r="W62" s="120">
        <v>16000</v>
      </c>
      <c r="X62" s="120"/>
      <c r="Y62" s="120">
        <f t="shared" si="5"/>
        <v>16500</v>
      </c>
      <c r="Z62" s="121"/>
      <c r="AB62" s="8" t="s">
        <v>53</v>
      </c>
      <c r="AC62" s="118">
        <v>6500</v>
      </c>
      <c r="AD62" s="8">
        <v>85</v>
      </c>
      <c r="AE62" s="8" t="s">
        <v>220</v>
      </c>
      <c r="AF62" s="8">
        <v>13.1</v>
      </c>
      <c r="AG62" s="8">
        <v>0.90532544400000003</v>
      </c>
      <c r="AH62" s="8">
        <f t="shared" si="7"/>
        <v>19861.111111111109</v>
      </c>
    </row>
    <row r="63" spans="1:34" ht="25" customHeight="1" outlineLevel="1" x14ac:dyDescent="0.35">
      <c r="B63" s="164"/>
      <c r="C63" s="164"/>
      <c r="D63" s="164"/>
      <c r="E63" s="3" t="s">
        <v>106</v>
      </c>
      <c r="F63" s="31" t="s">
        <v>21</v>
      </c>
      <c r="G63" s="35"/>
      <c r="H63" s="57" t="str">
        <f t="shared" si="1"/>
        <v/>
      </c>
      <c r="I63" s="57" t="str">
        <f t="shared" si="2"/>
        <v/>
      </c>
      <c r="J63" s="58" t="str">
        <f t="shared" si="3"/>
        <v/>
      </c>
      <c r="K63" s="164"/>
      <c r="L63" s="42"/>
      <c r="U63" s="119" t="str" cm="1">
        <f t="array" ref="U63">IF(C63="",INDEX(C60:C63,MATCH(TRUE,INDEX((C60:C63&lt;&gt;""),0),0)),C63)</f>
        <v>Britoil 67</v>
      </c>
      <c r="V63" s="120">
        <f t="shared" si="4"/>
        <v>0.77146063213016647</v>
      </c>
      <c r="W63" s="120">
        <v>16000</v>
      </c>
      <c r="X63" s="120"/>
      <c r="Y63" s="120">
        <f t="shared" si="5"/>
        <v>16500</v>
      </c>
      <c r="Z63" s="121"/>
      <c r="AB63" s="8" t="s">
        <v>54</v>
      </c>
      <c r="AC63" s="118">
        <v>5150</v>
      </c>
      <c r="AD63" s="8">
        <v>65</v>
      </c>
      <c r="AE63" s="8" t="s">
        <v>219</v>
      </c>
      <c r="AF63" s="8">
        <v>12.6</v>
      </c>
      <c r="AG63" s="8">
        <v>0.87378640799999996</v>
      </c>
      <c r="AH63" s="8">
        <f t="shared" si="7"/>
        <v>15736.111111111111</v>
      </c>
    </row>
    <row r="64" spans="1:34" ht="25" customHeight="1" outlineLevel="1" x14ac:dyDescent="0.35">
      <c r="B64" s="165"/>
      <c r="C64" s="165"/>
      <c r="D64" s="165"/>
      <c r="E64" s="4" t="s">
        <v>14</v>
      </c>
      <c r="F64" s="31" t="s">
        <v>17</v>
      </c>
      <c r="G64" s="35"/>
      <c r="H64" s="57">
        <f t="shared" si="1"/>
        <v>1157.1909481952498</v>
      </c>
      <c r="I64" s="57">
        <f t="shared" si="2"/>
        <v>4783.0559192070323</v>
      </c>
      <c r="J64" s="58">
        <f t="shared" si="3"/>
        <v>6.1716850570413317</v>
      </c>
      <c r="K64" s="165"/>
      <c r="L64" s="43"/>
      <c r="U64" s="119" t="str" cm="1">
        <f t="array" ref="U64">IF(C64="",INDEX(C60:C64,MATCH(TRUE,INDEX((C60:C64&lt;&gt;""),0),0)),C64)</f>
        <v>Britoil 67</v>
      </c>
      <c r="V64" s="120">
        <f t="shared" si="4"/>
        <v>0.77146063213016647</v>
      </c>
      <c r="W64" s="120">
        <v>16000</v>
      </c>
      <c r="X64" s="120"/>
      <c r="Y64" s="120">
        <f t="shared" si="5"/>
        <v>16500</v>
      </c>
      <c r="Z64" s="121"/>
      <c r="AB64" s="8" t="s">
        <v>56</v>
      </c>
      <c r="AC64" s="118">
        <v>5150</v>
      </c>
      <c r="AD64" s="8">
        <v>65.3</v>
      </c>
      <c r="AE64" s="8" t="s">
        <v>219</v>
      </c>
      <c r="AF64" s="8">
        <v>12.7</v>
      </c>
      <c r="AG64" s="8">
        <v>0.87781926799999999</v>
      </c>
      <c r="AH64" s="8">
        <f t="shared" si="7"/>
        <v>15736.111111111111</v>
      </c>
    </row>
    <row r="65" spans="1:34" ht="30" customHeight="1" x14ac:dyDescent="0.35">
      <c r="A65" s="8" t="s">
        <v>133</v>
      </c>
      <c r="B65" s="160">
        <v>12</v>
      </c>
      <c r="C65" s="160" t="s">
        <v>27</v>
      </c>
      <c r="D65" s="160" t="s">
        <v>12</v>
      </c>
      <c r="E65" s="27" t="s">
        <v>102</v>
      </c>
      <c r="F65" s="32"/>
      <c r="G65" s="36"/>
      <c r="H65" s="59" t="str">
        <f t="shared" si="1"/>
        <v/>
      </c>
      <c r="I65" s="59" t="str">
        <f t="shared" si="2"/>
        <v/>
      </c>
      <c r="J65" s="60" t="str">
        <f t="shared" si="3"/>
        <v/>
      </c>
      <c r="K65" s="160" t="s">
        <v>146</v>
      </c>
      <c r="L65" s="44"/>
      <c r="U65" s="119" t="str" cm="1">
        <f t="array" ref="U65">IF(C65="",INDEX(C61:C65,MATCH(TRUE,INDEX((C61:C65&lt;&gt;""),0),0)),C65)</f>
        <v>Britoil 70</v>
      </c>
      <c r="V65" s="120">
        <f t="shared" si="4"/>
        <v>1.0308584252852067</v>
      </c>
      <c r="W65" s="120">
        <v>20000</v>
      </c>
      <c r="X65" s="120"/>
      <c r="Y65" s="120">
        <f t="shared" si="5"/>
        <v>22048</v>
      </c>
      <c r="Z65" s="121"/>
      <c r="AB65" s="8" t="s">
        <v>57</v>
      </c>
      <c r="AC65" s="118">
        <v>5150</v>
      </c>
      <c r="AD65" s="8">
        <v>69.2</v>
      </c>
      <c r="AE65" s="8" t="s">
        <v>219</v>
      </c>
      <c r="AF65" s="8">
        <v>13.4</v>
      </c>
      <c r="AG65" s="8">
        <v>0.93024645299999997</v>
      </c>
      <c r="AH65" s="8">
        <f t="shared" si="7"/>
        <v>15736.111111111111</v>
      </c>
    </row>
    <row r="66" spans="1:34" ht="25" customHeight="1" outlineLevel="1" x14ac:dyDescent="0.35">
      <c r="B66" s="161"/>
      <c r="C66" s="161"/>
      <c r="D66" s="161"/>
      <c r="E66" s="6" t="s">
        <v>13</v>
      </c>
      <c r="F66" s="32" t="s">
        <v>17</v>
      </c>
      <c r="G66" s="37"/>
      <c r="H66" s="61">
        <f t="shared" si="1"/>
        <v>11339.442678137273</v>
      </c>
      <c r="I66" s="61">
        <f t="shared" si="2"/>
        <v>3298.7469609126615</v>
      </c>
      <c r="J66" s="62">
        <f t="shared" si="3"/>
        <v>65.974939218253226</v>
      </c>
      <c r="K66" s="161"/>
      <c r="L66" s="45"/>
      <c r="U66" s="119" t="str" cm="1">
        <f t="array" ref="U66">IF(C66="",INDEX(C62:C66,MATCH(TRUE,INDEX((C62:C66&lt;&gt;""),0),0)),C66)</f>
        <v>Britoil 70</v>
      </c>
      <c r="V66" s="120">
        <f t="shared" si="4"/>
        <v>1.0308584252852067</v>
      </c>
      <c r="W66" s="120">
        <v>20000</v>
      </c>
      <c r="X66" s="120"/>
      <c r="Y66" s="120">
        <f t="shared" si="5"/>
        <v>22048</v>
      </c>
      <c r="Z66" s="121"/>
      <c r="AB66" s="8" t="s">
        <v>58</v>
      </c>
      <c r="AC66" s="118">
        <v>6500</v>
      </c>
      <c r="AD66" s="8">
        <v>92</v>
      </c>
      <c r="AE66" s="8" t="s">
        <v>221</v>
      </c>
      <c r="AF66" s="8">
        <v>14.2</v>
      </c>
      <c r="AG66" s="8">
        <v>0.97988165699999996</v>
      </c>
      <c r="AH66" s="8">
        <f t="shared" si="7"/>
        <v>19861.111111111109</v>
      </c>
    </row>
    <row r="67" spans="1:34" ht="25" customHeight="1" outlineLevel="1" x14ac:dyDescent="0.35">
      <c r="B67" s="161"/>
      <c r="C67" s="161"/>
      <c r="D67" s="161"/>
      <c r="E67" s="6" t="s">
        <v>109</v>
      </c>
      <c r="F67" s="32" t="s">
        <v>21</v>
      </c>
      <c r="G67" s="37"/>
      <c r="H67" s="61" t="str">
        <f t="shared" si="1"/>
        <v/>
      </c>
      <c r="I67" s="61" t="str">
        <f t="shared" si="2"/>
        <v/>
      </c>
      <c r="J67" s="62" t="str">
        <f t="shared" si="3"/>
        <v/>
      </c>
      <c r="K67" s="161"/>
      <c r="L67" s="45" t="s">
        <v>143</v>
      </c>
      <c r="U67" s="119" t="str" cm="1">
        <f t="array" ref="U67">IF(C67="",INDEX(C63:C67,MATCH(TRUE,INDEX((C63:C67&lt;&gt;""),0),0)),C67)</f>
        <v>Britoil 70</v>
      </c>
      <c r="V67" s="120">
        <f t="shared" si="4"/>
        <v>1.0308584252852067</v>
      </c>
      <c r="W67" s="120">
        <v>20000</v>
      </c>
      <c r="X67" s="120"/>
      <c r="Y67" s="120">
        <f t="shared" si="5"/>
        <v>22048</v>
      </c>
      <c r="Z67" s="121"/>
      <c r="AB67" s="8" t="s">
        <v>60</v>
      </c>
      <c r="AC67" s="118">
        <v>6500</v>
      </c>
      <c r="AD67" s="8">
        <v>87.3</v>
      </c>
      <c r="AE67" s="8" t="s">
        <v>221</v>
      </c>
      <c r="AF67" s="8">
        <v>13.4</v>
      </c>
      <c r="AG67" s="8">
        <v>0.92982248499999998</v>
      </c>
      <c r="AH67" s="8">
        <f t="shared" si="7"/>
        <v>19861.111111111109</v>
      </c>
    </row>
    <row r="68" spans="1:34" ht="25" customHeight="1" outlineLevel="1" x14ac:dyDescent="0.35">
      <c r="B68" s="161"/>
      <c r="C68" s="161"/>
      <c r="D68" s="161"/>
      <c r="E68" s="6" t="s">
        <v>106</v>
      </c>
      <c r="F68" s="32" t="s">
        <v>17</v>
      </c>
      <c r="G68" s="37"/>
      <c r="H68" s="61">
        <f t="shared" si="1"/>
        <v>8556.1249298672155</v>
      </c>
      <c r="I68" s="61">
        <f t="shared" si="2"/>
        <v>4123.433701140827</v>
      </c>
      <c r="J68" s="62">
        <f t="shared" si="3"/>
        <v>87.622966149242572</v>
      </c>
      <c r="K68" s="161"/>
      <c r="L68" s="45" t="s">
        <v>147</v>
      </c>
      <c r="U68" s="119" t="str" cm="1">
        <f t="array" ref="U68">IF(C68="",INDEX(C64:C68,MATCH(TRUE,INDEX((C64:C68&lt;&gt;""),0),0)),C68)</f>
        <v>Britoil 70</v>
      </c>
      <c r="V68" s="120">
        <f t="shared" si="4"/>
        <v>1.0308584252852067</v>
      </c>
      <c r="W68" s="120">
        <v>20000</v>
      </c>
      <c r="X68" s="120"/>
      <c r="Y68" s="120">
        <f t="shared" si="5"/>
        <v>22048</v>
      </c>
      <c r="Z68" s="121"/>
      <c r="AB68" s="8" t="s">
        <v>61</v>
      </c>
      <c r="AC68" s="118">
        <v>5150</v>
      </c>
      <c r="AD68" s="8">
        <v>68.400000000000006</v>
      </c>
      <c r="AE68" s="8" t="s">
        <v>219</v>
      </c>
      <c r="AF68" s="8">
        <v>13.3</v>
      </c>
      <c r="AG68" s="8">
        <v>0.91949215799999995</v>
      </c>
      <c r="AH68" s="8">
        <f t="shared" si="7"/>
        <v>15736.111111111111</v>
      </c>
    </row>
    <row r="69" spans="1:34" ht="25" customHeight="1" outlineLevel="1" x14ac:dyDescent="0.35">
      <c r="B69" s="162"/>
      <c r="C69" s="162"/>
      <c r="D69" s="162"/>
      <c r="E69" s="7" t="s">
        <v>14</v>
      </c>
      <c r="F69" s="32" t="s">
        <v>32</v>
      </c>
      <c r="G69" s="38"/>
      <c r="H69" s="63" t="str">
        <f t="shared" si="1"/>
        <v/>
      </c>
      <c r="I69" s="63" t="str">
        <f t="shared" si="2"/>
        <v/>
      </c>
      <c r="J69" s="64" t="str">
        <f t="shared" si="3"/>
        <v/>
      </c>
      <c r="K69" s="162"/>
      <c r="L69" s="46"/>
      <c r="U69" s="119" t="str" cm="1">
        <f t="array" ref="U69">IF(C69="",INDEX(C65:C69,MATCH(TRUE,INDEX((C65:C69&lt;&gt;""),0),0)),C69)</f>
        <v>Britoil 70</v>
      </c>
      <c r="V69" s="120">
        <f t="shared" si="4"/>
        <v>1.0308584252852067</v>
      </c>
      <c r="W69" s="120">
        <v>20000</v>
      </c>
      <c r="X69" s="120"/>
      <c r="Y69" s="120">
        <f t="shared" si="5"/>
        <v>22048</v>
      </c>
      <c r="Z69" s="121"/>
      <c r="AB69" s="8" t="s">
        <v>63</v>
      </c>
      <c r="AC69" s="118">
        <v>5150</v>
      </c>
      <c r="AD69" s="8">
        <v>66.3</v>
      </c>
      <c r="AE69" s="8" t="s">
        <v>219</v>
      </c>
      <c r="AF69" s="8">
        <v>12.9</v>
      </c>
      <c r="AG69" s="8">
        <v>0.89126213600000004</v>
      </c>
      <c r="AH69" s="8">
        <f t="shared" si="7"/>
        <v>15736.111111111111</v>
      </c>
    </row>
    <row r="70" spans="1:34" ht="30" customHeight="1" x14ac:dyDescent="0.35">
      <c r="A70" s="8" t="s">
        <v>133</v>
      </c>
      <c r="B70" s="163">
        <v>13</v>
      </c>
      <c r="C70" s="163" t="s">
        <v>28</v>
      </c>
      <c r="D70" s="163" t="s">
        <v>12</v>
      </c>
      <c r="E70" s="26" t="s">
        <v>102</v>
      </c>
      <c r="F70" s="31"/>
      <c r="G70" s="35"/>
      <c r="H70" s="57" t="str">
        <f t="shared" si="1"/>
        <v/>
      </c>
      <c r="I70" s="57" t="str">
        <f t="shared" si="2"/>
        <v/>
      </c>
      <c r="J70" s="58" t="str">
        <f t="shared" si="3"/>
        <v/>
      </c>
      <c r="K70" s="3"/>
      <c r="L70" s="41"/>
      <c r="U70" s="119" t="str" cm="1">
        <f t="array" ref="U70">IF(C70="",INDEX(C66:C70,MATCH(TRUE,INDEX((C66:C70&lt;&gt;""),0),0)),C70)</f>
        <v>Britoil 71</v>
      </c>
      <c r="V70" s="120">
        <f t="shared" si="4"/>
        <v>1.0308584252852067</v>
      </c>
      <c r="W70" s="120">
        <v>20000</v>
      </c>
      <c r="X70" s="120"/>
      <c r="Y70" s="120">
        <f t="shared" si="5"/>
        <v>22048</v>
      </c>
      <c r="Z70" s="121"/>
      <c r="AB70" s="8" t="s">
        <v>65</v>
      </c>
      <c r="AC70" s="118">
        <v>5150</v>
      </c>
      <c r="AD70" s="8">
        <v>69.5</v>
      </c>
      <c r="AE70" s="8" t="s">
        <v>219</v>
      </c>
      <c r="AF70" s="8">
        <v>13.5</v>
      </c>
      <c r="AG70" s="8">
        <v>0.934279313</v>
      </c>
      <c r="AH70" s="8">
        <f t="shared" si="7"/>
        <v>15736.111111111111</v>
      </c>
    </row>
    <row r="71" spans="1:34" ht="25" customHeight="1" outlineLevel="1" x14ac:dyDescent="0.35">
      <c r="B71" s="164"/>
      <c r="C71" s="164"/>
      <c r="D71" s="164"/>
      <c r="E71" s="3" t="s">
        <v>13</v>
      </c>
      <c r="F71" s="31" t="s">
        <v>17</v>
      </c>
      <c r="G71" s="35"/>
      <c r="H71" s="57">
        <f t="shared" si="1"/>
        <v>11339.442678137273</v>
      </c>
      <c r="I71" s="57">
        <f t="shared" si="2"/>
        <v>3298.7469609126615</v>
      </c>
      <c r="J71" s="58">
        <f t="shared" si="3"/>
        <v>65.974939218253226</v>
      </c>
      <c r="K71" s="3"/>
      <c r="L71" s="42"/>
      <c r="U71" s="119" t="str" cm="1">
        <f t="array" ref="U71">IF(C71="",INDEX(C67:C71,MATCH(TRUE,INDEX((C67:C71&lt;&gt;""),0),0)),C71)</f>
        <v>Britoil 71</v>
      </c>
      <c r="V71" s="120">
        <f t="shared" si="4"/>
        <v>1.0308584252852067</v>
      </c>
      <c r="W71" s="120">
        <v>20000</v>
      </c>
      <c r="X71" s="120"/>
      <c r="Y71" s="120">
        <f t="shared" si="5"/>
        <v>22048</v>
      </c>
      <c r="Z71" s="121"/>
      <c r="AB71" s="8" t="s">
        <v>66</v>
      </c>
      <c r="AC71" s="118">
        <v>5150</v>
      </c>
      <c r="AD71" s="8">
        <v>69.099999999999994</v>
      </c>
      <c r="AE71" s="8" t="s">
        <v>219</v>
      </c>
      <c r="AF71" s="8">
        <v>13.4</v>
      </c>
      <c r="AG71" s="8">
        <v>0.92890216599999997</v>
      </c>
      <c r="AH71" s="8">
        <f t="shared" si="7"/>
        <v>15736.111111111111</v>
      </c>
    </row>
    <row r="72" spans="1:34" ht="25" customHeight="1" outlineLevel="1" x14ac:dyDescent="0.35">
      <c r="B72" s="164"/>
      <c r="C72" s="164"/>
      <c r="D72" s="164"/>
      <c r="E72" s="3" t="s">
        <v>103</v>
      </c>
      <c r="F72" s="31" t="s">
        <v>17</v>
      </c>
      <c r="G72" s="35"/>
      <c r="H72" s="57">
        <f t="shared" si="1"/>
        <v>0</v>
      </c>
      <c r="I72" s="57">
        <f t="shared" si="2"/>
        <v>3092.57527585562</v>
      </c>
      <c r="J72" s="58">
        <f t="shared" si="3"/>
        <v>0</v>
      </c>
      <c r="K72" s="3"/>
      <c r="L72" s="42"/>
      <c r="U72" s="119" t="str" cm="1">
        <f t="array" ref="U72">IF(C72="",INDEX(C68:C72,MATCH(TRUE,INDEX((C68:C72&lt;&gt;""),0),0)),C72)</f>
        <v>Britoil 71</v>
      </c>
      <c r="V72" s="120">
        <f t="shared" ref="V72" si="11">MIN(Y72/21388,1.3)</f>
        <v>1.0308584252852067</v>
      </c>
      <c r="W72" s="120">
        <v>20001</v>
      </c>
      <c r="X72" s="120"/>
      <c r="Y72" s="120">
        <f t="shared" ref="Y72" si="12">INT(VLOOKUP(U72, $AB$30:$AH$101, 7, FALSE))</f>
        <v>22048</v>
      </c>
      <c r="Z72" s="121"/>
      <c r="AB72" s="8" t="s">
        <v>303</v>
      </c>
      <c r="AC72" s="118">
        <v>5150</v>
      </c>
      <c r="AD72" s="8">
        <v>69.099999999999994</v>
      </c>
      <c r="AE72" s="8" t="s">
        <v>219</v>
      </c>
      <c r="AF72" s="8">
        <v>13.4</v>
      </c>
      <c r="AG72" s="8">
        <v>0.92890216599999997</v>
      </c>
      <c r="AH72" s="8">
        <f t="shared" si="7"/>
        <v>15736.111111111111</v>
      </c>
    </row>
    <row r="73" spans="1:34" ht="25" customHeight="1" outlineLevel="1" x14ac:dyDescent="0.35">
      <c r="B73" s="164"/>
      <c r="C73" s="164"/>
      <c r="D73" s="164"/>
      <c r="E73" s="3" t="s">
        <v>109</v>
      </c>
      <c r="F73" s="31" t="s">
        <v>21</v>
      </c>
      <c r="G73" s="35"/>
      <c r="H73" s="57" t="str">
        <f t="shared" si="1"/>
        <v/>
      </c>
      <c r="I73" s="57" t="str">
        <f t="shared" si="2"/>
        <v/>
      </c>
      <c r="J73" s="58" t="str">
        <f t="shared" si="3"/>
        <v/>
      </c>
      <c r="K73" s="3"/>
      <c r="L73" s="42"/>
      <c r="U73" s="119" t="str" cm="1">
        <f t="array" ref="U73">IF(C73="",INDEX(C68:C73,MATCH(TRUE,INDEX((C68:C73&lt;&gt;""),0),0)),C73)</f>
        <v>Britoil 71</v>
      </c>
      <c r="V73" s="120">
        <f t="shared" si="4"/>
        <v>1.0308584252852067</v>
      </c>
      <c r="W73" s="120">
        <v>20000</v>
      </c>
      <c r="X73" s="120"/>
      <c r="Y73" s="120">
        <f t="shared" si="5"/>
        <v>22048</v>
      </c>
      <c r="Z73" s="121"/>
      <c r="AB73" s="8" t="s">
        <v>67</v>
      </c>
      <c r="AC73" s="118">
        <v>5150</v>
      </c>
      <c r="AD73" s="8">
        <v>69.900000000000006</v>
      </c>
      <c r="AE73" s="8" t="s">
        <v>219</v>
      </c>
      <c r="AF73" s="8">
        <v>13.6</v>
      </c>
      <c r="AG73" s="8">
        <v>0.93965646000000003</v>
      </c>
      <c r="AH73" s="8">
        <f t="shared" si="7"/>
        <v>15736.111111111111</v>
      </c>
    </row>
    <row r="74" spans="1:34" ht="25" customHeight="1" outlineLevel="1" x14ac:dyDescent="0.35">
      <c r="B74" s="164"/>
      <c r="C74" s="164"/>
      <c r="D74" s="164"/>
      <c r="E74" s="3" t="s">
        <v>106</v>
      </c>
      <c r="F74" s="31" t="s">
        <v>21</v>
      </c>
      <c r="G74" s="35"/>
      <c r="H74" s="57" t="str">
        <f t="shared" ref="H74:H137" si="13">IF(F74="Done", V74*VLOOKUP(E74, $AB$3:$AC$16, 2, FALSE), "")</f>
        <v/>
      </c>
      <c r="I74" s="57" t="str">
        <f t="shared" ref="I74:I137" si="14">IF(F74="Done", V74*VLOOKUP(E74, $AB$3:$AD$16, 3, FALSE), "")</f>
        <v/>
      </c>
      <c r="J74" s="58" t="str">
        <f t="shared" ref="J74:J137" si="15">IF(F74="Done", V74*VLOOKUP(E74, $AB$3:$AE$16, 4, FALSE), "")</f>
        <v/>
      </c>
      <c r="K74" s="3"/>
      <c r="L74" s="42"/>
      <c r="U74" s="119" t="str" cm="1">
        <f t="array" ref="U74">IF(C74="",INDEX(C69:C74,MATCH(TRUE,INDEX((C69:C74&lt;&gt;""),0),0)),C74)</f>
        <v>Britoil 71</v>
      </c>
      <c r="V74" s="120">
        <f t="shared" si="4"/>
        <v>1.0308584252852067</v>
      </c>
      <c r="W74" s="120">
        <v>20000</v>
      </c>
      <c r="X74" s="120"/>
      <c r="Y74" s="120">
        <f t="shared" si="5"/>
        <v>22048</v>
      </c>
      <c r="Z74" s="121"/>
      <c r="AB74" s="8" t="s">
        <v>96</v>
      </c>
      <c r="AC74" s="118">
        <v>1971</v>
      </c>
      <c r="AD74" s="8" t="s">
        <v>222</v>
      </c>
      <c r="AE74" s="8" t="s">
        <v>223</v>
      </c>
      <c r="AF74" s="8">
        <v>15</v>
      </c>
      <c r="AG74" s="8">
        <v>1.038461538</v>
      </c>
      <c r="AH74" s="8">
        <f t="shared" si="7"/>
        <v>6022.5</v>
      </c>
    </row>
    <row r="75" spans="1:34" ht="25" customHeight="1" outlineLevel="1" x14ac:dyDescent="0.35">
      <c r="B75" s="165"/>
      <c r="C75" s="165"/>
      <c r="D75" s="165"/>
      <c r="E75" s="4" t="s">
        <v>14</v>
      </c>
      <c r="F75" s="31" t="s">
        <v>32</v>
      </c>
      <c r="G75" s="35"/>
      <c r="H75" s="57" t="str">
        <f t="shared" si="13"/>
        <v/>
      </c>
      <c r="I75" s="57" t="str">
        <f t="shared" si="14"/>
        <v/>
      </c>
      <c r="J75" s="58" t="str">
        <f t="shared" si="15"/>
        <v/>
      </c>
      <c r="K75" s="3"/>
      <c r="L75" s="43"/>
      <c r="U75" s="119" t="str" cm="1">
        <f t="array" ref="U75">IF(C75="",INDEX(C70:C75,MATCH(TRUE,INDEX((C70:C75&lt;&gt;""),0),0)),C75)</f>
        <v>Britoil 71</v>
      </c>
      <c r="V75" s="120">
        <f t="shared" si="4"/>
        <v>1.0308584252852067</v>
      </c>
      <c r="W75" s="120">
        <v>20000</v>
      </c>
      <c r="X75" s="120"/>
      <c r="Y75" s="120">
        <f t="shared" si="5"/>
        <v>22048</v>
      </c>
      <c r="Z75" s="121"/>
      <c r="AB75" s="8" t="s">
        <v>86</v>
      </c>
      <c r="AC75" s="8">
        <v>6866</v>
      </c>
      <c r="AD75" s="8">
        <v>90</v>
      </c>
      <c r="AE75" s="8" t="s">
        <v>223</v>
      </c>
      <c r="AF75" s="8">
        <v>15</v>
      </c>
      <c r="AG75" s="8">
        <v>1.038461538</v>
      </c>
      <c r="AH75" s="8">
        <f t="shared" si="7"/>
        <v>20979.444444444445</v>
      </c>
    </row>
    <row r="76" spans="1:34" ht="30" customHeight="1" x14ac:dyDescent="0.35">
      <c r="A76" s="8" t="s">
        <v>133</v>
      </c>
      <c r="B76" s="160">
        <v>14</v>
      </c>
      <c r="C76" s="160" t="s">
        <v>29</v>
      </c>
      <c r="D76" s="160" t="s">
        <v>12</v>
      </c>
      <c r="E76" s="27" t="s">
        <v>102</v>
      </c>
      <c r="F76" s="32"/>
      <c r="G76" s="36"/>
      <c r="H76" s="59" t="str">
        <f t="shared" si="13"/>
        <v/>
      </c>
      <c r="I76" s="59" t="str">
        <f t="shared" si="14"/>
        <v/>
      </c>
      <c r="J76" s="60" t="str">
        <f t="shared" si="15"/>
        <v/>
      </c>
      <c r="K76" s="5"/>
      <c r="L76" s="44"/>
      <c r="U76" s="119" t="str" cm="1">
        <f t="array" ref="U76">IF(C76="",INDEX(C71:C76,MATCH(TRUE,INDEX((C71:C76&lt;&gt;""),0),0)),C76)</f>
        <v>Britoil 72</v>
      </c>
      <c r="V76" s="120">
        <f t="shared" ref="V76:V142" si="16">MIN(Y76/21388,1.3)</f>
        <v>1.0308584252852067</v>
      </c>
      <c r="W76" s="120">
        <v>20000</v>
      </c>
      <c r="X76" s="120"/>
      <c r="Y76" s="120">
        <f t="shared" ref="Y76:Y141" si="17">INT(VLOOKUP(U76, $AB$30:$AH$101, 7, FALSE))</f>
        <v>22048</v>
      </c>
      <c r="Z76" s="121"/>
      <c r="AB76" s="8" t="s">
        <v>68</v>
      </c>
      <c r="AC76" s="8">
        <v>7000</v>
      </c>
      <c r="AD76" s="8" t="s">
        <v>224</v>
      </c>
      <c r="AE76" s="8" t="s">
        <v>225</v>
      </c>
      <c r="AH76" s="8">
        <f t="shared" si="7"/>
        <v>21388.888888888891</v>
      </c>
    </row>
    <row r="77" spans="1:34" ht="25" customHeight="1" outlineLevel="1" x14ac:dyDescent="0.35">
      <c r="B77" s="161"/>
      <c r="C77" s="161"/>
      <c r="D77" s="161"/>
      <c r="E77" s="6" t="s">
        <v>13</v>
      </c>
      <c r="F77" s="32" t="s">
        <v>17</v>
      </c>
      <c r="G77" s="37"/>
      <c r="H77" s="61">
        <f t="shared" si="13"/>
        <v>11339.442678137273</v>
      </c>
      <c r="I77" s="61">
        <f t="shared" si="14"/>
        <v>3298.7469609126615</v>
      </c>
      <c r="J77" s="62">
        <f t="shared" si="15"/>
        <v>65.974939218253226</v>
      </c>
      <c r="K77" s="6"/>
      <c r="L77" s="45"/>
      <c r="U77" s="119" t="str" cm="1">
        <f t="array" ref="U77">IF(C77="",INDEX(C73:C77,MATCH(TRUE,INDEX((C73:C77&lt;&gt;""),0),0)),C77)</f>
        <v>Britoil 72</v>
      </c>
      <c r="V77" s="120">
        <f t="shared" si="16"/>
        <v>1.0308584252852067</v>
      </c>
      <c r="W77" s="120">
        <v>20000</v>
      </c>
      <c r="X77" s="120"/>
      <c r="Y77" s="120">
        <f t="shared" si="17"/>
        <v>22048</v>
      </c>
      <c r="Z77" s="121"/>
      <c r="AB77" s="8" t="s">
        <v>70</v>
      </c>
      <c r="AC77" s="8">
        <v>7000</v>
      </c>
      <c r="AD77" s="8" t="s">
        <v>224</v>
      </c>
      <c r="AE77" s="8" t="s">
        <v>225</v>
      </c>
      <c r="AH77" s="8">
        <f t="shared" si="7"/>
        <v>21388.888888888891</v>
      </c>
    </row>
    <row r="78" spans="1:34" ht="25" customHeight="1" outlineLevel="1" x14ac:dyDescent="0.35">
      <c r="B78" s="161"/>
      <c r="C78" s="161"/>
      <c r="D78" s="161"/>
      <c r="E78" s="6" t="s">
        <v>109</v>
      </c>
      <c r="F78" s="32" t="s">
        <v>17</v>
      </c>
      <c r="G78" s="37"/>
      <c r="H78" s="61">
        <f t="shared" si="13"/>
        <v>16493.734804563308</v>
      </c>
      <c r="I78" s="61">
        <f t="shared" si="14"/>
        <v>1030.8584252852067</v>
      </c>
      <c r="J78" s="62">
        <f t="shared" si="15"/>
        <v>95.869833551524223</v>
      </c>
      <c r="K78" s="6"/>
      <c r="L78" s="45" t="s">
        <v>174</v>
      </c>
      <c r="U78" s="119" t="str" cm="1">
        <f t="array" ref="U78">IF(C78="",INDEX(C74:C78,MATCH(TRUE,INDEX((C74:C78&lt;&gt;""),0),0)),C78)</f>
        <v>Britoil 72</v>
      </c>
      <c r="V78" s="120">
        <f t="shared" si="16"/>
        <v>1.0308584252852067</v>
      </c>
      <c r="W78" s="120">
        <v>20000</v>
      </c>
      <c r="X78" s="120"/>
      <c r="Y78" s="120">
        <f t="shared" si="17"/>
        <v>22048</v>
      </c>
      <c r="Z78" s="121"/>
      <c r="AB78" s="8" t="s">
        <v>71</v>
      </c>
      <c r="AC78" s="8">
        <v>8000</v>
      </c>
      <c r="AD78" s="8" t="s">
        <v>226</v>
      </c>
      <c r="AE78" s="8" t="s">
        <v>227</v>
      </c>
      <c r="AH78" s="8">
        <f t="shared" si="7"/>
        <v>24444.444444444445</v>
      </c>
    </row>
    <row r="79" spans="1:34" ht="25" customHeight="1" outlineLevel="1" x14ac:dyDescent="0.35">
      <c r="B79" s="161"/>
      <c r="C79" s="161"/>
      <c r="D79" s="161"/>
      <c r="E79" s="6" t="s">
        <v>106</v>
      </c>
      <c r="F79" s="32" t="s">
        <v>17</v>
      </c>
      <c r="G79" s="37"/>
      <c r="H79" s="61">
        <f t="shared" si="13"/>
        <v>8556.1249298672155</v>
      </c>
      <c r="I79" s="61">
        <f t="shared" si="14"/>
        <v>4123.433701140827</v>
      </c>
      <c r="J79" s="62">
        <f t="shared" si="15"/>
        <v>87.622966149242572</v>
      </c>
      <c r="K79" s="6"/>
      <c r="L79" s="45"/>
      <c r="U79" s="119" t="str" cm="1">
        <f t="array" ref="U79">IF(C79="",INDEX(C75:C79,MATCH(TRUE,INDEX((C75:C79&lt;&gt;""),0),0)),C79)</f>
        <v>Britoil 72</v>
      </c>
      <c r="V79" s="120">
        <f t="shared" si="16"/>
        <v>1.0308584252852067</v>
      </c>
      <c r="W79" s="120">
        <v>20000</v>
      </c>
      <c r="X79" s="120"/>
      <c r="Y79" s="120">
        <f t="shared" si="17"/>
        <v>22048</v>
      </c>
      <c r="Z79" s="121"/>
      <c r="AB79" s="8" t="s">
        <v>74</v>
      </c>
      <c r="AC79" s="8">
        <v>6000</v>
      </c>
      <c r="AD79" s="8" t="s">
        <v>228</v>
      </c>
      <c r="AE79" s="8" t="s">
        <v>229</v>
      </c>
      <c r="AH79" s="8">
        <f t="shared" si="7"/>
        <v>18333.333333333332</v>
      </c>
    </row>
    <row r="80" spans="1:34" ht="25" customHeight="1" outlineLevel="1" x14ac:dyDescent="0.35">
      <c r="B80" s="162"/>
      <c r="C80" s="162"/>
      <c r="D80" s="162"/>
      <c r="E80" s="7" t="s">
        <v>14</v>
      </c>
      <c r="F80" s="32" t="s">
        <v>32</v>
      </c>
      <c r="G80" s="38"/>
      <c r="H80" s="63" t="str">
        <f t="shared" si="13"/>
        <v/>
      </c>
      <c r="I80" s="63" t="str">
        <f t="shared" si="14"/>
        <v/>
      </c>
      <c r="J80" s="64" t="str">
        <f t="shared" si="15"/>
        <v/>
      </c>
      <c r="K80" s="7"/>
      <c r="L80" s="46"/>
      <c r="U80" s="119" t="str" cm="1">
        <f t="array" ref="U80">IF(C80="",INDEX(C76:C80,MATCH(TRUE,INDEX((C76:C80&lt;&gt;""),0),0)),C80)</f>
        <v>Britoil 72</v>
      </c>
      <c r="V80" s="120">
        <f t="shared" si="16"/>
        <v>1.0308584252852067</v>
      </c>
      <c r="W80" s="120">
        <v>20000</v>
      </c>
      <c r="X80" s="120"/>
      <c r="Y80" s="120">
        <f t="shared" si="17"/>
        <v>22048</v>
      </c>
      <c r="Z80" s="121"/>
      <c r="AB80" s="8" t="s">
        <v>75</v>
      </c>
      <c r="AC80" s="8">
        <v>6000</v>
      </c>
      <c r="AD80" s="8" t="s">
        <v>228</v>
      </c>
      <c r="AE80" s="8" t="s">
        <v>229</v>
      </c>
      <c r="AH80" s="8">
        <f t="shared" si="7"/>
        <v>18333.333333333332</v>
      </c>
    </row>
    <row r="81" spans="1:34" ht="30" customHeight="1" x14ac:dyDescent="0.35">
      <c r="A81" s="8" t="s">
        <v>133</v>
      </c>
      <c r="B81" s="163">
        <v>15</v>
      </c>
      <c r="C81" s="163" t="s">
        <v>30</v>
      </c>
      <c r="D81" s="163" t="s">
        <v>12</v>
      </c>
      <c r="E81" s="26" t="s">
        <v>102</v>
      </c>
      <c r="F81" s="31"/>
      <c r="G81" s="35"/>
      <c r="H81" s="57" t="str">
        <f t="shared" si="13"/>
        <v/>
      </c>
      <c r="I81" s="57" t="str">
        <f t="shared" si="14"/>
        <v/>
      </c>
      <c r="J81" s="58" t="str">
        <f t="shared" si="15"/>
        <v/>
      </c>
      <c r="K81" s="206" t="s">
        <v>169</v>
      </c>
      <c r="L81" s="41"/>
      <c r="U81" s="119" t="str" cm="1">
        <f t="array" ref="U81">IF(C81="",INDEX(C77:C81,MATCH(TRUE,INDEX((C77:C81&lt;&gt;""),0),0)),C81)</f>
        <v>Britoil 73</v>
      </c>
      <c r="V81" s="120">
        <f t="shared" si="16"/>
        <v>1.0382925004675518</v>
      </c>
      <c r="W81" s="120">
        <v>20000</v>
      </c>
      <c r="X81" s="120"/>
      <c r="Y81" s="120">
        <f t="shared" si="17"/>
        <v>22207</v>
      </c>
      <c r="Z81" s="121"/>
      <c r="AB81" s="8" t="s">
        <v>77</v>
      </c>
      <c r="AC81" s="8">
        <v>8200</v>
      </c>
      <c r="AD81" s="8" t="s">
        <v>230</v>
      </c>
      <c r="AE81" s="8" t="s">
        <v>231</v>
      </c>
      <c r="AH81" s="8">
        <f t="shared" si="7"/>
        <v>25055.555555555555</v>
      </c>
    </row>
    <row r="82" spans="1:34" ht="25" customHeight="1" outlineLevel="1" x14ac:dyDescent="0.35">
      <c r="B82" s="164"/>
      <c r="C82" s="164"/>
      <c r="D82" s="164"/>
      <c r="E82" s="3" t="s">
        <v>13</v>
      </c>
      <c r="F82" s="31" t="s">
        <v>17</v>
      </c>
      <c r="G82" s="35"/>
      <c r="H82" s="57">
        <f t="shared" si="13"/>
        <v>11421.21750514307</v>
      </c>
      <c r="I82" s="57">
        <f t="shared" si="14"/>
        <v>3322.5360014961657</v>
      </c>
      <c r="J82" s="58">
        <f t="shared" si="15"/>
        <v>66.450720029923318</v>
      </c>
      <c r="K82" s="164"/>
      <c r="L82" s="42"/>
      <c r="U82" s="119" t="str" cm="1">
        <f t="array" ref="U82">IF(C82="",INDEX(C78:C82,MATCH(TRUE,INDEX((C78:C82&lt;&gt;""),0),0)),C82)</f>
        <v>Britoil 73</v>
      </c>
      <c r="V82" s="120">
        <f t="shared" si="16"/>
        <v>1.0382925004675518</v>
      </c>
      <c r="W82" s="120">
        <v>20000</v>
      </c>
      <c r="X82" s="120"/>
      <c r="Y82" s="120">
        <f t="shared" si="17"/>
        <v>22207</v>
      </c>
      <c r="Z82" s="121"/>
      <c r="AB82" s="8" t="s">
        <v>78</v>
      </c>
      <c r="AC82" s="8">
        <v>8200</v>
      </c>
      <c r="AD82" s="8" t="s">
        <v>230</v>
      </c>
      <c r="AE82" s="8" t="s">
        <v>231</v>
      </c>
      <c r="AH82" s="8">
        <f t="shared" si="7"/>
        <v>25055.555555555555</v>
      </c>
    </row>
    <row r="83" spans="1:34" ht="25" customHeight="1" outlineLevel="1" x14ac:dyDescent="0.35">
      <c r="B83" s="164"/>
      <c r="C83" s="164"/>
      <c r="D83" s="164"/>
      <c r="E83" s="3" t="s">
        <v>109</v>
      </c>
      <c r="F83" s="31" t="s">
        <v>17</v>
      </c>
      <c r="G83" s="35"/>
      <c r="H83" s="57">
        <f t="shared" si="13"/>
        <v>16612.680007480831</v>
      </c>
      <c r="I83" s="57">
        <f t="shared" si="14"/>
        <v>1038.2925004675519</v>
      </c>
      <c r="J83" s="58">
        <f t="shared" si="15"/>
        <v>96.561202543482324</v>
      </c>
      <c r="K83" s="164"/>
      <c r="L83" s="42" t="s">
        <v>174</v>
      </c>
      <c r="U83" s="119" t="str" cm="1">
        <f t="array" ref="U83">IF(C83="",INDEX(C79:C83,MATCH(TRUE,INDEX((C79:C83&lt;&gt;""),0),0)),C83)</f>
        <v>Britoil 73</v>
      </c>
      <c r="V83" s="120">
        <f t="shared" si="16"/>
        <v>1.0382925004675518</v>
      </c>
      <c r="W83" s="120">
        <v>20000</v>
      </c>
      <c r="X83" s="120"/>
      <c r="Y83" s="120">
        <f t="shared" si="17"/>
        <v>22207</v>
      </c>
      <c r="Z83" s="121"/>
      <c r="AB83" s="8" t="s">
        <v>79</v>
      </c>
      <c r="AC83" s="8">
        <v>6500</v>
      </c>
      <c r="AD83" s="8" t="s">
        <v>232</v>
      </c>
      <c r="AE83" s="8" t="s">
        <v>233</v>
      </c>
      <c r="AH83" s="8">
        <f t="shared" si="7"/>
        <v>19861.111111111109</v>
      </c>
    </row>
    <row r="84" spans="1:34" ht="25" customHeight="1" outlineLevel="1" x14ac:dyDescent="0.35">
      <c r="B84" s="164"/>
      <c r="C84" s="164"/>
      <c r="D84" s="164"/>
      <c r="E84" s="3" t="s">
        <v>106</v>
      </c>
      <c r="F84" s="31" t="s">
        <v>21</v>
      </c>
      <c r="G84" s="35"/>
      <c r="H84" s="57" t="str">
        <f t="shared" si="13"/>
        <v/>
      </c>
      <c r="I84" s="57" t="str">
        <f t="shared" si="14"/>
        <v/>
      </c>
      <c r="J84" s="58" t="str">
        <f t="shared" si="15"/>
        <v/>
      </c>
      <c r="K84" s="164"/>
      <c r="L84" s="42"/>
      <c r="U84" s="119" t="str" cm="1">
        <f t="array" ref="U84">IF(C84="",INDEX(C80:C84,MATCH(TRUE,INDEX((C80:C84&lt;&gt;""),0),0)),C84)</f>
        <v>Britoil 73</v>
      </c>
      <c r="V84" s="120">
        <f t="shared" si="16"/>
        <v>1.0382925004675518</v>
      </c>
      <c r="W84" s="120">
        <v>20000</v>
      </c>
      <c r="X84" s="120"/>
      <c r="Y84" s="120">
        <f t="shared" si="17"/>
        <v>22207</v>
      </c>
      <c r="Z84" s="121"/>
      <c r="AB84" s="8" t="s">
        <v>80</v>
      </c>
      <c r="AC84" s="8">
        <v>6500</v>
      </c>
      <c r="AD84" s="8" t="s">
        <v>232</v>
      </c>
      <c r="AE84" s="8" t="s">
        <v>233</v>
      </c>
      <c r="AH84" s="8">
        <f t="shared" si="7"/>
        <v>19861.111111111109</v>
      </c>
    </row>
    <row r="85" spans="1:34" ht="25" customHeight="1" outlineLevel="1" x14ac:dyDescent="0.35">
      <c r="B85" s="165"/>
      <c r="C85" s="165"/>
      <c r="D85" s="165"/>
      <c r="E85" s="4" t="s">
        <v>14</v>
      </c>
      <c r="F85" s="31" t="s">
        <v>32</v>
      </c>
      <c r="G85" s="35"/>
      <c r="H85" s="57" t="str">
        <f t="shared" si="13"/>
        <v/>
      </c>
      <c r="I85" s="57" t="str">
        <f t="shared" si="14"/>
        <v/>
      </c>
      <c r="J85" s="58" t="str">
        <f t="shared" si="15"/>
        <v/>
      </c>
      <c r="K85" s="165"/>
      <c r="L85" s="43"/>
      <c r="U85" s="119" t="str" cm="1">
        <f t="array" ref="U85">IF(C85="",INDEX(C81:C85,MATCH(TRUE,INDEX((C81:C85&lt;&gt;""),0),0)),C85)</f>
        <v>Britoil 73</v>
      </c>
      <c r="V85" s="120">
        <f t="shared" si="16"/>
        <v>1.0382925004675518</v>
      </c>
      <c r="W85" s="120">
        <v>20000</v>
      </c>
      <c r="X85" s="120"/>
      <c r="Y85" s="120">
        <f t="shared" si="17"/>
        <v>22207</v>
      </c>
      <c r="Z85" s="121"/>
      <c r="AB85" s="8" t="s">
        <v>81</v>
      </c>
      <c r="AC85" s="8">
        <v>7000</v>
      </c>
      <c r="AD85" s="8" t="s">
        <v>226</v>
      </c>
      <c r="AE85" s="8" t="s">
        <v>227</v>
      </c>
      <c r="AH85" s="8">
        <f t="shared" si="7"/>
        <v>21388.888888888891</v>
      </c>
    </row>
    <row r="86" spans="1:34" ht="30" customHeight="1" x14ac:dyDescent="0.35">
      <c r="A86" s="8" t="s">
        <v>133</v>
      </c>
      <c r="B86" s="160">
        <v>16</v>
      </c>
      <c r="C86" s="160" t="s">
        <v>31</v>
      </c>
      <c r="D86" s="160" t="s">
        <v>12</v>
      </c>
      <c r="E86" s="27" t="s">
        <v>102</v>
      </c>
      <c r="F86" s="32"/>
      <c r="G86" s="36"/>
      <c r="H86" s="59" t="str">
        <f t="shared" si="13"/>
        <v/>
      </c>
      <c r="I86" s="59" t="str">
        <f t="shared" si="14"/>
        <v/>
      </c>
      <c r="J86" s="60" t="str">
        <f t="shared" si="15"/>
        <v/>
      </c>
      <c r="K86" s="160" t="s">
        <v>167</v>
      </c>
      <c r="L86" s="44"/>
      <c r="U86" s="119" t="str" cm="1">
        <f t="array" ref="U86">IF(C86="",INDEX(C82:C86,MATCH(TRUE,INDEX((C82:C86&lt;&gt;""),0),0)),C86)</f>
        <v>Britoil 74</v>
      </c>
      <c r="V86" s="120">
        <f t="shared" si="16"/>
        <v>1.0382925004675518</v>
      </c>
      <c r="W86" s="120">
        <v>20000</v>
      </c>
      <c r="X86" s="120"/>
      <c r="Y86" s="120">
        <f t="shared" si="17"/>
        <v>22207</v>
      </c>
      <c r="Z86" s="121"/>
      <c r="AB86" s="8" t="s">
        <v>83</v>
      </c>
      <c r="AC86" s="8">
        <v>7000</v>
      </c>
      <c r="AD86" s="8" t="s">
        <v>226</v>
      </c>
      <c r="AE86" s="8" t="s">
        <v>227</v>
      </c>
      <c r="AH86" s="8">
        <f t="shared" si="7"/>
        <v>21388.888888888891</v>
      </c>
    </row>
    <row r="87" spans="1:34" ht="25" customHeight="1" outlineLevel="1" x14ac:dyDescent="0.35">
      <c r="B87" s="161"/>
      <c r="C87" s="161"/>
      <c r="D87" s="161"/>
      <c r="E87" s="6" t="s">
        <v>13</v>
      </c>
      <c r="F87" s="32" t="s">
        <v>17</v>
      </c>
      <c r="G87" s="37">
        <v>43983</v>
      </c>
      <c r="H87" s="61">
        <f t="shared" si="13"/>
        <v>11421.21750514307</v>
      </c>
      <c r="I87" s="61">
        <f t="shared" si="14"/>
        <v>3322.5360014961657</v>
      </c>
      <c r="J87" s="62">
        <f t="shared" si="15"/>
        <v>66.450720029923318</v>
      </c>
      <c r="K87" s="161"/>
      <c r="L87" s="45"/>
      <c r="U87" s="119" t="str" cm="1">
        <f t="array" ref="U87">IF(C87="",INDEX(C83:C87,MATCH(TRUE,INDEX((C83:C87&lt;&gt;""),0),0)),C87)</f>
        <v>Britoil 74</v>
      </c>
      <c r="V87" s="120">
        <f t="shared" si="16"/>
        <v>1.0382925004675518</v>
      </c>
      <c r="W87" s="120">
        <v>20000</v>
      </c>
      <c r="X87" s="120"/>
      <c r="Y87" s="120">
        <f t="shared" si="17"/>
        <v>22207</v>
      </c>
      <c r="Z87" s="121"/>
      <c r="AB87" s="8" t="s">
        <v>84</v>
      </c>
      <c r="AC87" s="8">
        <v>6600</v>
      </c>
      <c r="AD87" s="8" t="s">
        <v>234</v>
      </c>
      <c r="AE87" s="8" t="s">
        <v>235</v>
      </c>
      <c r="AH87" s="8">
        <f t="shared" si="7"/>
        <v>20166.666666666668</v>
      </c>
    </row>
    <row r="88" spans="1:34" ht="25" customHeight="1" outlineLevel="1" x14ac:dyDescent="0.35">
      <c r="B88" s="161"/>
      <c r="C88" s="161"/>
      <c r="D88" s="161"/>
      <c r="E88" s="6" t="s">
        <v>109</v>
      </c>
      <c r="F88" s="32" t="s">
        <v>21</v>
      </c>
      <c r="G88" s="37"/>
      <c r="H88" s="61" t="str">
        <f t="shared" si="13"/>
        <v/>
      </c>
      <c r="I88" s="61" t="str">
        <f t="shared" si="14"/>
        <v/>
      </c>
      <c r="J88" s="62" t="str">
        <f t="shared" si="15"/>
        <v/>
      </c>
      <c r="K88" s="161"/>
      <c r="L88" s="45"/>
      <c r="U88" s="119" t="str" cm="1">
        <f t="array" ref="U88">IF(C88="",INDEX(C84:C88,MATCH(TRUE,INDEX((C84:C88&lt;&gt;""),0),0)),C88)</f>
        <v>Britoil 74</v>
      </c>
      <c r="V88" s="120">
        <f t="shared" si="16"/>
        <v>1.0382925004675518</v>
      </c>
      <c r="W88" s="120">
        <v>20000</v>
      </c>
      <c r="X88" s="120"/>
      <c r="Y88" s="120">
        <f t="shared" si="17"/>
        <v>22207</v>
      </c>
      <c r="Z88" s="121"/>
      <c r="AB88" s="8" t="s">
        <v>85</v>
      </c>
      <c r="AC88" s="8">
        <v>6600</v>
      </c>
      <c r="AD88" s="8" t="s">
        <v>234</v>
      </c>
      <c r="AE88" s="8" t="s">
        <v>235</v>
      </c>
      <c r="AH88" s="8">
        <f t="shared" si="7"/>
        <v>20166.666666666668</v>
      </c>
    </row>
    <row r="89" spans="1:34" ht="25" customHeight="1" outlineLevel="1" x14ac:dyDescent="0.35">
      <c r="B89" s="161"/>
      <c r="C89" s="161"/>
      <c r="D89" s="161"/>
      <c r="E89" s="6" t="s">
        <v>106</v>
      </c>
      <c r="F89" s="32" t="s">
        <v>17</v>
      </c>
      <c r="G89" s="37"/>
      <c r="H89" s="61">
        <f t="shared" si="13"/>
        <v>8617.8277538806797</v>
      </c>
      <c r="I89" s="61">
        <f t="shared" si="14"/>
        <v>4153.1700018702077</v>
      </c>
      <c r="J89" s="62">
        <f t="shared" si="15"/>
        <v>88.254862539741907</v>
      </c>
      <c r="K89" s="161"/>
      <c r="L89" s="45"/>
      <c r="U89" s="119" t="str" cm="1">
        <f t="array" ref="U89">IF(C89="",INDEX(C85:C89,MATCH(TRUE,INDEX((C85:C89&lt;&gt;""),0),0)),C89)</f>
        <v>Britoil 74</v>
      </c>
      <c r="V89" s="120">
        <f t="shared" si="16"/>
        <v>1.0382925004675518</v>
      </c>
      <c r="W89" s="120">
        <v>20000</v>
      </c>
      <c r="X89" s="120"/>
      <c r="Y89" s="120">
        <f t="shared" si="17"/>
        <v>22207</v>
      </c>
      <c r="Z89" s="121"/>
      <c r="AB89" s="8" t="s">
        <v>95</v>
      </c>
      <c r="AC89" s="8">
        <v>6000</v>
      </c>
      <c r="AD89" s="8" t="s">
        <v>236</v>
      </c>
      <c r="AE89" s="8" t="s">
        <v>235</v>
      </c>
      <c r="AH89" s="8">
        <f t="shared" si="7"/>
        <v>18333.333333333332</v>
      </c>
    </row>
    <row r="90" spans="1:34" ht="25" customHeight="1" outlineLevel="1" x14ac:dyDescent="0.35">
      <c r="B90" s="162"/>
      <c r="C90" s="162"/>
      <c r="D90" s="162"/>
      <c r="E90" s="7" t="s">
        <v>14</v>
      </c>
      <c r="F90" s="32" t="s">
        <v>32</v>
      </c>
      <c r="G90" s="38"/>
      <c r="H90" s="63" t="str">
        <f t="shared" si="13"/>
        <v/>
      </c>
      <c r="I90" s="63" t="str">
        <f t="shared" si="14"/>
        <v/>
      </c>
      <c r="J90" s="64" t="str">
        <f t="shared" si="15"/>
        <v/>
      </c>
      <c r="K90" s="162"/>
      <c r="L90" s="46"/>
      <c r="U90" s="119" t="str" cm="1">
        <f t="array" ref="U90">IF(C90="",INDEX(C86:C90,MATCH(TRUE,INDEX((C86:C90&lt;&gt;""),0),0)),C90)</f>
        <v>Britoil 74</v>
      </c>
      <c r="V90" s="120">
        <f t="shared" si="16"/>
        <v>1.0382925004675518</v>
      </c>
      <c r="W90" s="120">
        <v>20000</v>
      </c>
      <c r="X90" s="120"/>
      <c r="Y90" s="120">
        <f t="shared" si="17"/>
        <v>22207</v>
      </c>
      <c r="Z90" s="121"/>
      <c r="AB90" s="8" t="s">
        <v>89</v>
      </c>
      <c r="AC90" s="8">
        <v>6000</v>
      </c>
      <c r="AD90" s="8" t="s">
        <v>237</v>
      </c>
      <c r="AE90" s="8" t="s">
        <v>235</v>
      </c>
      <c r="AH90" s="8">
        <f t="shared" si="7"/>
        <v>18333.333333333332</v>
      </c>
    </row>
    <row r="91" spans="1:34" ht="30" customHeight="1" x14ac:dyDescent="0.35">
      <c r="A91" s="8" t="s">
        <v>133</v>
      </c>
      <c r="B91" s="163">
        <v>17</v>
      </c>
      <c r="C91" s="163" t="s">
        <v>33</v>
      </c>
      <c r="D91" s="163" t="s">
        <v>34</v>
      </c>
      <c r="E91" s="26" t="s">
        <v>102</v>
      </c>
      <c r="F91" s="31"/>
      <c r="G91" s="35"/>
      <c r="H91" s="57" t="str">
        <f t="shared" si="13"/>
        <v/>
      </c>
      <c r="I91" s="57" t="str">
        <f t="shared" si="14"/>
        <v/>
      </c>
      <c r="J91" s="58" t="str">
        <f t="shared" si="15"/>
        <v/>
      </c>
      <c r="K91" s="163" t="s">
        <v>101</v>
      </c>
      <c r="L91" s="41"/>
      <c r="U91" s="119" t="str" cm="1">
        <f t="array" ref="U91">IF(C91="",INDEX(C87:C91,MATCH(TRUE,INDEX((C87:C91&lt;&gt;""),0),0)),C91)</f>
        <v>Britoil 80</v>
      </c>
      <c r="V91" s="120">
        <f t="shared" si="16"/>
        <v>1.1428838601084721</v>
      </c>
      <c r="W91" s="120">
        <v>22000</v>
      </c>
      <c r="X91" s="120"/>
      <c r="Y91" s="120">
        <f t="shared" si="17"/>
        <v>24444</v>
      </c>
      <c r="Z91" s="121"/>
      <c r="AB91" s="8" t="s">
        <v>90</v>
      </c>
      <c r="AC91" s="8">
        <v>6000</v>
      </c>
      <c r="AD91" s="8" t="s">
        <v>238</v>
      </c>
      <c r="AE91" s="8" t="s">
        <v>235</v>
      </c>
      <c r="AH91" s="8">
        <f t="shared" si="7"/>
        <v>18333.333333333332</v>
      </c>
    </row>
    <row r="92" spans="1:34" ht="25" customHeight="1" outlineLevel="1" x14ac:dyDescent="0.35">
      <c r="B92" s="164"/>
      <c r="C92" s="164"/>
      <c r="D92" s="164"/>
      <c r="E92" s="3" t="s">
        <v>13</v>
      </c>
      <c r="F92" s="31" t="s">
        <v>17</v>
      </c>
      <c r="G92" s="35" t="s">
        <v>176</v>
      </c>
      <c r="H92" s="57">
        <f t="shared" si="13"/>
        <v>12571.722461193192</v>
      </c>
      <c r="I92" s="57">
        <f t="shared" si="14"/>
        <v>3657.2283523471106</v>
      </c>
      <c r="J92" s="58">
        <f t="shared" si="15"/>
        <v>73.144567046942214</v>
      </c>
      <c r="K92" s="164"/>
      <c r="L92" s="42"/>
      <c r="U92" s="119" t="str" cm="1">
        <f t="array" ref="U92">IF(C92="",INDEX(C88:C92,MATCH(TRUE,INDEX((C88:C92&lt;&gt;""),0),0)),C92)</f>
        <v>Britoil 80</v>
      </c>
      <c r="V92" s="120">
        <f t="shared" si="16"/>
        <v>1.1428838601084721</v>
      </c>
      <c r="W92" s="120">
        <v>22000</v>
      </c>
      <c r="X92" s="120"/>
      <c r="Y92" s="120">
        <f t="shared" si="17"/>
        <v>24444</v>
      </c>
      <c r="Z92" s="121"/>
      <c r="AB92" s="8" t="s">
        <v>91</v>
      </c>
      <c r="AC92" s="8">
        <v>6000</v>
      </c>
      <c r="AD92" s="8" t="s">
        <v>239</v>
      </c>
      <c r="AE92" s="8" t="s">
        <v>235</v>
      </c>
      <c r="AH92" s="8">
        <f t="shared" si="7"/>
        <v>18333.333333333332</v>
      </c>
    </row>
    <row r="93" spans="1:34" ht="25" customHeight="1" outlineLevel="1" x14ac:dyDescent="0.35">
      <c r="B93" s="164"/>
      <c r="C93" s="164"/>
      <c r="D93" s="164"/>
      <c r="E93" s="3" t="s">
        <v>106</v>
      </c>
      <c r="F93" s="31" t="s">
        <v>21</v>
      </c>
      <c r="G93" s="35"/>
      <c r="H93" s="57" t="str">
        <f t="shared" si="13"/>
        <v/>
      </c>
      <c r="I93" s="57" t="str">
        <f t="shared" si="14"/>
        <v/>
      </c>
      <c r="J93" s="58" t="str">
        <f t="shared" si="15"/>
        <v/>
      </c>
      <c r="K93" s="164"/>
      <c r="L93" s="42"/>
      <c r="U93" s="119" t="str" cm="1">
        <f t="array" ref="U93">IF(C93="",INDEX(C89:C93,MATCH(TRUE,INDEX((C89:C93&lt;&gt;""),0),0)),C93)</f>
        <v>Britoil 80</v>
      </c>
      <c r="V93" s="120">
        <f t="shared" si="16"/>
        <v>1.1428838601084721</v>
      </c>
      <c r="W93" s="120">
        <v>22000</v>
      </c>
      <c r="X93" s="120"/>
      <c r="Y93" s="120">
        <f t="shared" si="17"/>
        <v>24444</v>
      </c>
      <c r="Z93" s="121"/>
      <c r="AB93" s="8" t="s">
        <v>94</v>
      </c>
      <c r="AC93" s="8">
        <v>6000</v>
      </c>
      <c r="AD93" s="8" t="s">
        <v>240</v>
      </c>
      <c r="AE93" s="8" t="s">
        <v>235</v>
      </c>
      <c r="AH93" s="8">
        <f t="shared" si="7"/>
        <v>18333.333333333332</v>
      </c>
    </row>
    <row r="94" spans="1:34" ht="25" customHeight="1" outlineLevel="1" x14ac:dyDescent="0.35">
      <c r="B94" s="164"/>
      <c r="C94" s="164"/>
      <c r="D94" s="164"/>
      <c r="E94" s="3" t="s">
        <v>109</v>
      </c>
      <c r="F94" s="31" t="s">
        <v>21</v>
      </c>
      <c r="G94" s="35"/>
      <c r="H94" s="57" t="str">
        <f t="shared" si="13"/>
        <v/>
      </c>
      <c r="I94" s="57" t="str">
        <f t="shared" si="14"/>
        <v/>
      </c>
      <c r="J94" s="58" t="str">
        <f t="shared" si="15"/>
        <v/>
      </c>
      <c r="K94" s="164"/>
      <c r="L94" s="42"/>
      <c r="U94" s="119" t="str" cm="1">
        <f t="array" ref="U94">IF(C94="",INDEX(C90:C94,MATCH(TRUE,INDEX((C90:C94&lt;&gt;""),0),0)),C94)</f>
        <v>Britoil 80</v>
      </c>
      <c r="V94" s="120">
        <f t="shared" si="16"/>
        <v>1.1428838601084721</v>
      </c>
      <c r="W94" s="120">
        <v>22000</v>
      </c>
      <c r="X94" s="120"/>
      <c r="Y94" s="120">
        <f t="shared" si="17"/>
        <v>24444</v>
      </c>
      <c r="Z94" s="121"/>
      <c r="AB94" s="8" t="s">
        <v>44</v>
      </c>
      <c r="AC94" s="8">
        <v>1000</v>
      </c>
      <c r="AD94" s="8" t="s">
        <v>241</v>
      </c>
      <c r="AE94" s="8" t="s">
        <v>235</v>
      </c>
      <c r="AH94" s="8">
        <f t="shared" si="7"/>
        <v>3055.5555555555557</v>
      </c>
    </row>
    <row r="95" spans="1:34" ht="25" customHeight="1" outlineLevel="1" x14ac:dyDescent="0.35">
      <c r="B95" s="164"/>
      <c r="C95" s="164"/>
      <c r="D95" s="164"/>
      <c r="E95" s="3" t="s">
        <v>110</v>
      </c>
      <c r="F95" s="31" t="s">
        <v>21</v>
      </c>
      <c r="G95" s="35"/>
      <c r="H95" s="57" t="str">
        <f t="shared" si="13"/>
        <v/>
      </c>
      <c r="I95" s="57" t="str">
        <f t="shared" si="14"/>
        <v/>
      </c>
      <c r="J95" s="58" t="str">
        <f t="shared" si="15"/>
        <v/>
      </c>
      <c r="K95" s="164"/>
      <c r="L95" s="42"/>
      <c r="U95" s="119" t="str" cm="1">
        <f t="array" ref="U95">IF(C95="",INDEX(C90:C95,MATCH(TRUE,INDEX((C90:C95&lt;&gt;""),0),0)),C95)</f>
        <v>Britoil 80</v>
      </c>
      <c r="V95" s="120">
        <f t="shared" si="16"/>
        <v>1.1428838601084721</v>
      </c>
      <c r="W95" s="120">
        <v>22000</v>
      </c>
      <c r="X95" s="120"/>
      <c r="Y95" s="120">
        <f t="shared" si="17"/>
        <v>24444</v>
      </c>
      <c r="Z95" s="121"/>
      <c r="AB95" s="8" t="s">
        <v>319</v>
      </c>
      <c r="AC95" s="8">
        <v>5000</v>
      </c>
      <c r="AD95" s="8" t="s">
        <v>232</v>
      </c>
      <c r="AE95" s="8" t="s">
        <v>235</v>
      </c>
      <c r="AH95" s="8">
        <f t="shared" si="7"/>
        <v>15277.777777777777</v>
      </c>
    </row>
    <row r="96" spans="1:34" ht="25" customHeight="1" outlineLevel="1" x14ac:dyDescent="0.35">
      <c r="B96" s="165"/>
      <c r="C96" s="165"/>
      <c r="D96" s="165"/>
      <c r="E96" s="4" t="s">
        <v>14</v>
      </c>
      <c r="F96" s="31" t="s">
        <v>17</v>
      </c>
      <c r="G96" s="35" t="s">
        <v>177</v>
      </c>
      <c r="H96" s="57">
        <f t="shared" si="13"/>
        <v>1714.3257901627082</v>
      </c>
      <c r="I96" s="57">
        <f t="shared" si="14"/>
        <v>7085.8799326725266</v>
      </c>
      <c r="J96" s="58">
        <f t="shared" si="15"/>
        <v>9.1430708808677768</v>
      </c>
      <c r="K96" s="165"/>
      <c r="L96" s="43"/>
      <c r="U96" s="119" t="str" cm="1">
        <f t="array" ref="U96">IF(C96="",INDEX(C91:C96,MATCH(TRUE,INDEX((C91:C96&lt;&gt;""),0),0)),C96)</f>
        <v>Britoil 80</v>
      </c>
      <c r="V96" s="120">
        <f t="shared" si="16"/>
        <v>1.1428838601084721</v>
      </c>
      <c r="W96" s="120">
        <v>22000</v>
      </c>
      <c r="X96" s="120"/>
      <c r="Y96" s="120">
        <f t="shared" si="17"/>
        <v>24444</v>
      </c>
      <c r="Z96" s="121"/>
      <c r="AB96" s="8" t="s">
        <v>306</v>
      </c>
      <c r="AC96" s="8">
        <v>8000</v>
      </c>
      <c r="AD96" s="8" t="s">
        <v>242</v>
      </c>
      <c r="AE96" s="8" t="s">
        <v>235</v>
      </c>
      <c r="AH96" s="8">
        <f t="shared" si="7"/>
        <v>24444.444444444445</v>
      </c>
    </row>
    <row r="97" spans="1:34" ht="30" customHeight="1" x14ac:dyDescent="0.35">
      <c r="A97" s="8" t="s">
        <v>133</v>
      </c>
      <c r="B97" s="160">
        <v>18</v>
      </c>
      <c r="C97" s="160" t="s">
        <v>35</v>
      </c>
      <c r="D97" s="160" t="s">
        <v>34</v>
      </c>
      <c r="E97" s="27" t="s">
        <v>102</v>
      </c>
      <c r="F97" s="32"/>
      <c r="G97" s="36"/>
      <c r="H97" s="59" t="str">
        <f t="shared" si="13"/>
        <v/>
      </c>
      <c r="I97" s="59" t="str">
        <f t="shared" si="14"/>
        <v/>
      </c>
      <c r="J97" s="60" t="str">
        <f t="shared" si="15"/>
        <v/>
      </c>
      <c r="K97" s="5"/>
      <c r="L97" s="44"/>
      <c r="U97" s="119" t="str" cm="1">
        <f t="array" ref="U97">IF(C97="",INDEX(C92:C97,MATCH(TRUE,INDEX((C92:C97&lt;&gt;""),0),0)),C97)</f>
        <v>Britoil 81</v>
      </c>
      <c r="V97" s="120">
        <f t="shared" si="16"/>
        <v>1.1428838601084721</v>
      </c>
      <c r="W97" s="120">
        <v>22000</v>
      </c>
      <c r="X97" s="120"/>
      <c r="Y97" s="120">
        <f t="shared" si="17"/>
        <v>24444</v>
      </c>
      <c r="Z97" s="121"/>
      <c r="AB97" s="8" t="s">
        <v>73</v>
      </c>
      <c r="AC97" s="8">
        <v>7000</v>
      </c>
      <c r="AD97" s="8" t="s">
        <v>243</v>
      </c>
      <c r="AE97" s="8" t="s">
        <v>235</v>
      </c>
      <c r="AH97" s="8">
        <f t="shared" si="7"/>
        <v>21388.888888888891</v>
      </c>
    </row>
    <row r="98" spans="1:34" ht="25" customHeight="1" outlineLevel="1" x14ac:dyDescent="0.35">
      <c r="B98" s="161"/>
      <c r="C98" s="161"/>
      <c r="D98" s="161"/>
      <c r="E98" s="6" t="s">
        <v>13</v>
      </c>
      <c r="F98" s="32" t="s">
        <v>17</v>
      </c>
      <c r="G98" s="37"/>
      <c r="H98" s="61">
        <f t="shared" si="13"/>
        <v>12571.722461193192</v>
      </c>
      <c r="I98" s="61">
        <f t="shared" si="14"/>
        <v>3657.2283523471106</v>
      </c>
      <c r="J98" s="62">
        <f t="shared" si="15"/>
        <v>73.144567046942214</v>
      </c>
      <c r="K98" s="6"/>
      <c r="L98" s="45" t="s">
        <v>270</v>
      </c>
      <c r="U98" s="119" t="str" cm="1">
        <f t="array" ref="U98">IF(C98="",INDEX(C93:C98,MATCH(TRUE,INDEX((C93:C98&lt;&gt;""),0),0)),C98)</f>
        <v>Britoil 81</v>
      </c>
      <c r="V98" s="120">
        <f t="shared" si="16"/>
        <v>1.1428838601084721</v>
      </c>
      <c r="W98" s="120">
        <v>22000</v>
      </c>
      <c r="X98" s="120"/>
      <c r="Y98" s="120">
        <f t="shared" si="17"/>
        <v>24444</v>
      </c>
      <c r="Z98" s="121"/>
      <c r="AB98" s="8" t="s">
        <v>82</v>
      </c>
      <c r="AC98" s="8">
        <v>7000</v>
      </c>
      <c r="AD98" s="8" t="s">
        <v>244</v>
      </c>
      <c r="AE98" s="8" t="s">
        <v>235</v>
      </c>
      <c r="AH98" s="8">
        <f t="shared" si="7"/>
        <v>21388.888888888891</v>
      </c>
    </row>
    <row r="99" spans="1:34" ht="25" customHeight="1" outlineLevel="1" x14ac:dyDescent="0.35">
      <c r="B99" s="161"/>
      <c r="C99" s="161"/>
      <c r="D99" s="161"/>
      <c r="E99" s="6" t="s">
        <v>103</v>
      </c>
      <c r="F99" s="32" t="s">
        <v>17</v>
      </c>
      <c r="G99" s="37"/>
      <c r="H99" s="61">
        <f t="shared" si="13"/>
        <v>0</v>
      </c>
      <c r="I99" s="61">
        <f t="shared" si="14"/>
        <v>3428.6515803254165</v>
      </c>
      <c r="J99" s="62">
        <f t="shared" si="15"/>
        <v>0</v>
      </c>
      <c r="K99" s="6"/>
      <c r="L99" s="45"/>
      <c r="U99" s="119" t="str" cm="1">
        <f t="array" ref="U99">IF(C99="",INDEX(C94:C99,MATCH(TRUE,INDEX((C94:C99&lt;&gt;""),0),0)),C99)</f>
        <v>Britoil 81</v>
      </c>
      <c r="V99" s="120">
        <f t="shared" ref="V99" si="18">MIN(Y99/21388,1.3)</f>
        <v>1.1428838601084721</v>
      </c>
      <c r="W99" s="120">
        <v>22001</v>
      </c>
      <c r="X99" s="120"/>
      <c r="Y99" s="120">
        <f t="shared" ref="Y99" si="19">INT(VLOOKUP(U99, $AB$30:$AH$101, 7, FALSE))</f>
        <v>24444</v>
      </c>
      <c r="Z99" s="121"/>
      <c r="AB99" s="8" t="s">
        <v>307</v>
      </c>
      <c r="AC99" s="8">
        <v>7000</v>
      </c>
      <c r="AD99" s="8" t="s">
        <v>284</v>
      </c>
      <c r="AE99" s="8" t="s">
        <v>235</v>
      </c>
      <c r="AH99" s="8">
        <f t="shared" si="7"/>
        <v>21388.888888888891</v>
      </c>
    </row>
    <row r="100" spans="1:34" ht="25" customHeight="1" outlineLevel="1" x14ac:dyDescent="0.35">
      <c r="B100" s="161"/>
      <c r="C100" s="161"/>
      <c r="D100" s="161"/>
      <c r="E100" s="6" t="s">
        <v>106</v>
      </c>
      <c r="F100" s="32" t="s">
        <v>17</v>
      </c>
      <c r="G100" s="37"/>
      <c r="H100" s="61">
        <f t="shared" si="13"/>
        <v>9485.9360389003177</v>
      </c>
      <c r="I100" s="61">
        <f t="shared" si="14"/>
        <v>4571.5354404338887</v>
      </c>
      <c r="J100" s="62">
        <f t="shared" si="15"/>
        <v>97.145128109220124</v>
      </c>
      <c r="K100" s="6"/>
      <c r="L100" s="45" t="s">
        <v>271</v>
      </c>
      <c r="U100" s="119" t="str" cm="1">
        <f t="array" ref="U100">IF(C100="",INDEX(C94:C100,MATCH(TRUE,INDEX((C94:C100&lt;&gt;""),0),0)),C100)</f>
        <v>Britoil 81</v>
      </c>
      <c r="V100" s="120">
        <f t="shared" si="16"/>
        <v>1.1428838601084721</v>
      </c>
      <c r="W100" s="120">
        <v>22000</v>
      </c>
      <c r="X100" s="120"/>
      <c r="Y100" s="120">
        <f t="shared" si="17"/>
        <v>24444</v>
      </c>
      <c r="Z100" s="121"/>
      <c r="AB100" s="8" t="s">
        <v>308</v>
      </c>
      <c r="AC100" s="8">
        <v>7000</v>
      </c>
      <c r="AD100" s="8" t="s">
        <v>285</v>
      </c>
      <c r="AE100" s="8" t="s">
        <v>235</v>
      </c>
      <c r="AH100" s="8">
        <f>$AH$30 *AC99/ $AC$30</f>
        <v>21388.888888888891</v>
      </c>
    </row>
    <row r="101" spans="1:34" ht="25" customHeight="1" outlineLevel="1" x14ac:dyDescent="0.35">
      <c r="B101" s="161"/>
      <c r="C101" s="161"/>
      <c r="D101" s="161"/>
      <c r="E101" s="6" t="s">
        <v>109</v>
      </c>
      <c r="F101" s="32" t="s">
        <v>17</v>
      </c>
      <c r="G101" s="37"/>
      <c r="H101" s="61">
        <f t="shared" si="13"/>
        <v>18286.141761735555</v>
      </c>
      <c r="I101" s="61">
        <f t="shared" si="14"/>
        <v>1142.8838601084722</v>
      </c>
      <c r="J101" s="62">
        <f t="shared" si="15"/>
        <v>106.28819899008791</v>
      </c>
      <c r="K101" s="6"/>
      <c r="L101" s="45" t="s">
        <v>272</v>
      </c>
      <c r="U101" s="119" t="str" cm="1">
        <f t="array" ref="U101">IF(C101="",INDEX(C95:C101,MATCH(TRUE,INDEX((C95:C101&lt;&gt;""),0),0)),C101)</f>
        <v>Britoil 81</v>
      </c>
      <c r="V101" s="120">
        <f t="shared" si="16"/>
        <v>1.1428838601084721</v>
      </c>
      <c r="W101" s="120">
        <v>22000</v>
      </c>
      <c r="X101" s="120"/>
      <c r="Y101" s="120">
        <f t="shared" si="17"/>
        <v>24444</v>
      </c>
      <c r="Z101" s="121"/>
      <c r="AB101" s="8" t="s">
        <v>301</v>
      </c>
      <c r="AC101" s="8">
        <v>7001</v>
      </c>
      <c r="AD101" s="8" t="s">
        <v>304</v>
      </c>
      <c r="AE101" s="8" t="s">
        <v>235</v>
      </c>
      <c r="AH101" s="8">
        <f>$AH$30 *AC100/ $AC$30</f>
        <v>21388.888888888891</v>
      </c>
    </row>
    <row r="102" spans="1:34" ht="25" customHeight="1" outlineLevel="1" x14ac:dyDescent="0.35">
      <c r="B102" s="161"/>
      <c r="C102" s="161"/>
      <c r="D102" s="161"/>
      <c r="E102" s="6" t="s">
        <v>110</v>
      </c>
      <c r="F102" s="32" t="s">
        <v>21</v>
      </c>
      <c r="G102" s="37"/>
      <c r="H102" s="61" t="str">
        <f t="shared" si="13"/>
        <v/>
      </c>
      <c r="I102" s="61" t="str">
        <f t="shared" si="14"/>
        <v/>
      </c>
      <c r="J102" s="62" t="str">
        <f t="shared" si="15"/>
        <v/>
      </c>
      <c r="K102" s="6"/>
      <c r="L102" s="45"/>
      <c r="U102" s="119" t="str" cm="1">
        <f t="array" ref="U102">IF(C102="",INDEX(C96:C102,MATCH(TRUE,INDEX((C96:C102&lt;&gt;""),0),0)),C102)</f>
        <v>Britoil 81</v>
      </c>
      <c r="V102" s="120">
        <f t="shared" si="16"/>
        <v>1.1428838601084721</v>
      </c>
      <c r="W102" s="120">
        <v>22000</v>
      </c>
      <c r="X102" s="120"/>
      <c r="Y102" s="120">
        <f t="shared" si="17"/>
        <v>24444</v>
      </c>
      <c r="Z102" s="121"/>
    </row>
    <row r="103" spans="1:34" ht="25" customHeight="1" outlineLevel="1" x14ac:dyDescent="0.35">
      <c r="B103" s="162"/>
      <c r="C103" s="162"/>
      <c r="D103" s="162"/>
      <c r="E103" s="7" t="s">
        <v>14</v>
      </c>
      <c r="F103" s="32" t="s">
        <v>17</v>
      </c>
      <c r="G103" s="38"/>
      <c r="H103" s="63">
        <f t="shared" si="13"/>
        <v>1714.3257901627082</v>
      </c>
      <c r="I103" s="63">
        <f t="shared" si="14"/>
        <v>7085.8799326725266</v>
      </c>
      <c r="J103" s="64">
        <f t="shared" si="15"/>
        <v>9.1430708808677768</v>
      </c>
      <c r="K103" s="7"/>
      <c r="L103" s="46" t="s">
        <v>273</v>
      </c>
      <c r="U103" s="119" t="str" cm="1">
        <f t="array" ref="U103">IF(C103="",INDEX(C97:C103,MATCH(TRUE,INDEX((C97:C103&lt;&gt;""),0),0)),C103)</f>
        <v>Britoil 81</v>
      </c>
      <c r="V103" s="120">
        <f t="shared" si="16"/>
        <v>1.1428838601084721</v>
      </c>
      <c r="W103" s="120">
        <v>22000</v>
      </c>
      <c r="X103" s="120"/>
      <c r="Y103" s="120">
        <f t="shared" si="17"/>
        <v>24444</v>
      </c>
      <c r="Z103" s="121"/>
    </row>
    <row r="104" spans="1:34" ht="30" customHeight="1" x14ac:dyDescent="0.35">
      <c r="A104" s="8" t="s">
        <v>133</v>
      </c>
      <c r="B104" s="163">
        <v>19</v>
      </c>
      <c r="C104" s="163" t="s">
        <v>36</v>
      </c>
      <c r="D104" s="163" t="s">
        <v>34</v>
      </c>
      <c r="E104" s="26" t="s">
        <v>102</v>
      </c>
      <c r="F104" s="31"/>
      <c r="G104" s="34"/>
      <c r="H104" s="55" t="str">
        <f t="shared" si="13"/>
        <v/>
      </c>
      <c r="I104" s="55" t="str">
        <f t="shared" si="14"/>
        <v/>
      </c>
      <c r="J104" s="56" t="str">
        <f t="shared" si="15"/>
        <v/>
      </c>
      <c r="K104" s="163" t="s">
        <v>139</v>
      </c>
      <c r="L104" s="41"/>
      <c r="U104" s="119" t="str" cm="1">
        <f t="array" ref="U104">IF(C104="",INDEX(C100:C104,MATCH(TRUE,INDEX((C100:C104&lt;&gt;""),0),0)),C104)</f>
        <v>Britoil 82</v>
      </c>
      <c r="V104" s="120">
        <f t="shared" si="16"/>
        <v>1.1428838601084721</v>
      </c>
      <c r="W104" s="120">
        <v>20000</v>
      </c>
      <c r="X104" s="120"/>
      <c r="Y104" s="120">
        <f t="shared" si="17"/>
        <v>24444</v>
      </c>
      <c r="Z104" s="121"/>
    </row>
    <row r="105" spans="1:34" ht="25" customHeight="1" outlineLevel="1" x14ac:dyDescent="0.35">
      <c r="B105" s="164"/>
      <c r="C105" s="164"/>
      <c r="D105" s="164"/>
      <c r="E105" s="3" t="s">
        <v>13</v>
      </c>
      <c r="F105" s="31" t="s">
        <v>17</v>
      </c>
      <c r="G105" s="35"/>
      <c r="H105" s="57">
        <f t="shared" si="13"/>
        <v>12571.722461193192</v>
      </c>
      <c r="I105" s="57">
        <f t="shared" si="14"/>
        <v>3657.2283523471106</v>
      </c>
      <c r="J105" s="58">
        <f t="shared" si="15"/>
        <v>73.144567046942214</v>
      </c>
      <c r="K105" s="164"/>
      <c r="L105" s="42"/>
      <c r="U105" s="119" t="str" cm="1">
        <f t="array" ref="U105">IF(C105="",INDEX(C101:C105,MATCH(TRUE,INDEX((C101:C105&lt;&gt;""),0),0)),C105)</f>
        <v>Britoil 82</v>
      </c>
      <c r="V105" s="120">
        <f t="shared" si="16"/>
        <v>1.1428838601084721</v>
      </c>
      <c r="W105" s="120">
        <v>20000</v>
      </c>
      <c r="X105" s="120"/>
      <c r="Y105" s="120">
        <f t="shared" si="17"/>
        <v>24444</v>
      </c>
      <c r="Z105" s="121"/>
    </row>
    <row r="106" spans="1:34" ht="25" customHeight="1" outlineLevel="1" x14ac:dyDescent="0.35">
      <c r="B106" s="164"/>
      <c r="C106" s="164"/>
      <c r="D106" s="164"/>
      <c r="E106" s="3" t="s">
        <v>106</v>
      </c>
      <c r="F106" s="31" t="s">
        <v>21</v>
      </c>
      <c r="G106" s="35"/>
      <c r="H106" s="57" t="str">
        <f t="shared" si="13"/>
        <v/>
      </c>
      <c r="I106" s="57" t="str">
        <f t="shared" si="14"/>
        <v/>
      </c>
      <c r="J106" s="58" t="str">
        <f t="shared" si="15"/>
        <v/>
      </c>
      <c r="K106" s="164"/>
      <c r="L106" s="42"/>
      <c r="U106" s="119" t="str" cm="1">
        <f t="array" ref="U106">IF(C106="",INDEX(C102:C106,MATCH(TRUE,INDEX((C102:C106&lt;&gt;""),0),0)),C106)</f>
        <v>Britoil 82</v>
      </c>
      <c r="V106" s="120">
        <f t="shared" si="16"/>
        <v>1.1428838601084721</v>
      </c>
      <c r="W106" s="120">
        <v>20000</v>
      </c>
      <c r="X106" s="120"/>
      <c r="Y106" s="120">
        <f t="shared" si="17"/>
        <v>24444</v>
      </c>
      <c r="Z106" s="121"/>
    </row>
    <row r="107" spans="1:34" ht="25" customHeight="1" outlineLevel="1" x14ac:dyDescent="0.35">
      <c r="B107" s="164"/>
      <c r="C107" s="164"/>
      <c r="D107" s="164"/>
      <c r="E107" s="3" t="s">
        <v>109</v>
      </c>
      <c r="F107" s="31" t="s">
        <v>21</v>
      </c>
      <c r="G107" s="35"/>
      <c r="H107" s="57" t="str">
        <f t="shared" si="13"/>
        <v/>
      </c>
      <c r="I107" s="57" t="str">
        <f t="shared" si="14"/>
        <v/>
      </c>
      <c r="J107" s="58" t="str">
        <f t="shared" si="15"/>
        <v/>
      </c>
      <c r="K107" s="164"/>
      <c r="L107" s="42"/>
      <c r="U107" s="119" t="str" cm="1">
        <f t="array" ref="U107">IF(C107="",INDEX(C103:C107,MATCH(TRUE,INDEX((C103:C107&lt;&gt;""),0),0)),C107)</f>
        <v>Britoil 82</v>
      </c>
      <c r="V107" s="120">
        <f t="shared" si="16"/>
        <v>1.1428838601084721</v>
      </c>
      <c r="W107" s="120">
        <v>20000</v>
      </c>
      <c r="X107" s="120"/>
      <c r="Y107" s="120">
        <f t="shared" si="17"/>
        <v>24444</v>
      </c>
      <c r="Z107" s="121"/>
    </row>
    <row r="108" spans="1:34" ht="25" customHeight="1" outlineLevel="1" x14ac:dyDescent="0.35">
      <c r="B108" s="164"/>
      <c r="C108" s="164"/>
      <c r="D108" s="164"/>
      <c r="E108" s="3" t="s">
        <v>110</v>
      </c>
      <c r="F108" s="31" t="s">
        <v>17</v>
      </c>
      <c r="G108" s="35"/>
      <c r="H108" s="57">
        <f t="shared" si="13"/>
        <v>0</v>
      </c>
      <c r="I108" s="57">
        <f t="shared" si="14"/>
        <v>571.44193005423608</v>
      </c>
      <c r="J108" s="58">
        <f t="shared" si="15"/>
        <v>0</v>
      </c>
      <c r="K108" s="164"/>
      <c r="L108" s="42"/>
      <c r="U108" s="119" t="str" cm="1">
        <f t="array" ref="U108">IF(C108="",INDEX(C102:C108,MATCH(TRUE,INDEX((C102:C108&lt;&gt;""),0),0)),C108)</f>
        <v>Britoil 82</v>
      </c>
      <c r="V108" s="120">
        <f t="shared" si="16"/>
        <v>1.1428838601084721</v>
      </c>
      <c r="W108" s="120">
        <v>20000</v>
      </c>
      <c r="X108" s="120"/>
      <c r="Y108" s="120">
        <f t="shared" si="17"/>
        <v>24444</v>
      </c>
      <c r="Z108" s="121"/>
    </row>
    <row r="109" spans="1:34" ht="25" customHeight="1" outlineLevel="1" x14ac:dyDescent="0.35">
      <c r="B109" s="165"/>
      <c r="C109" s="165"/>
      <c r="D109" s="165"/>
      <c r="E109" s="4" t="s">
        <v>14</v>
      </c>
      <c r="F109" s="31" t="s">
        <v>17</v>
      </c>
      <c r="G109" s="39"/>
      <c r="H109" s="65">
        <f t="shared" si="13"/>
        <v>1714.3257901627082</v>
      </c>
      <c r="I109" s="65">
        <f t="shared" si="14"/>
        <v>7085.8799326725266</v>
      </c>
      <c r="J109" s="66">
        <f t="shared" si="15"/>
        <v>9.1430708808677768</v>
      </c>
      <c r="K109" s="165"/>
      <c r="L109" s="43"/>
      <c r="U109" s="119" t="str" cm="1">
        <f t="array" ref="U109">IF(C109="",INDEX(C103:C109,MATCH(TRUE,INDEX((C103:C109&lt;&gt;""),0),0)),C109)</f>
        <v>Britoil 82</v>
      </c>
      <c r="V109" s="120">
        <f t="shared" si="16"/>
        <v>1.1428838601084721</v>
      </c>
      <c r="W109" s="120">
        <v>20000</v>
      </c>
      <c r="X109" s="120"/>
      <c r="Y109" s="120">
        <f t="shared" si="17"/>
        <v>24444</v>
      </c>
      <c r="Z109" s="121"/>
    </row>
    <row r="110" spans="1:34" ht="30" customHeight="1" x14ac:dyDescent="0.35">
      <c r="A110" s="8" t="s">
        <v>133</v>
      </c>
      <c r="B110" s="160">
        <v>20</v>
      </c>
      <c r="C110" s="160" t="s">
        <v>37</v>
      </c>
      <c r="D110" s="160" t="s">
        <v>38</v>
      </c>
      <c r="E110" s="27" t="s">
        <v>102</v>
      </c>
      <c r="F110" s="32"/>
      <c r="G110" s="37"/>
      <c r="H110" s="61" t="str">
        <f t="shared" si="13"/>
        <v/>
      </c>
      <c r="I110" s="61" t="str">
        <f t="shared" si="14"/>
        <v/>
      </c>
      <c r="J110" s="62" t="str">
        <f t="shared" si="15"/>
        <v/>
      </c>
      <c r="K110" s="160"/>
      <c r="L110" s="44"/>
      <c r="U110" s="119" t="str" cm="1">
        <f t="array" ref="U110">IF(C110="",INDEX(C104:C110,MATCH(TRUE,INDEX((C104:C110&lt;&gt;""),0),0)),C110)</f>
        <v>Britoil 120</v>
      </c>
      <c r="V110" s="120">
        <f t="shared" si="16"/>
        <v>1.3</v>
      </c>
      <c r="W110" s="120">
        <v>33000</v>
      </c>
      <c r="X110" s="120" t="s">
        <v>157</v>
      </c>
      <c r="Y110" s="120">
        <f t="shared" si="17"/>
        <v>37400</v>
      </c>
      <c r="Z110" s="121"/>
    </row>
    <row r="111" spans="1:34" ht="25" customHeight="1" outlineLevel="1" x14ac:dyDescent="0.35">
      <c r="B111" s="161"/>
      <c r="C111" s="161"/>
      <c r="D111" s="161"/>
      <c r="E111" s="6" t="s">
        <v>13</v>
      </c>
      <c r="F111" s="32" t="s">
        <v>21</v>
      </c>
      <c r="G111" s="37"/>
      <c r="H111" s="61" t="str">
        <f t="shared" si="13"/>
        <v/>
      </c>
      <c r="I111" s="61" t="str">
        <f t="shared" si="14"/>
        <v/>
      </c>
      <c r="J111" s="62" t="str">
        <f t="shared" si="15"/>
        <v/>
      </c>
      <c r="K111" s="161"/>
      <c r="L111" s="45"/>
      <c r="U111" s="119" t="str" cm="1">
        <f t="array" ref="U111">IF(C111="",INDEX(C105:C111,MATCH(TRUE,INDEX((C105:C111&lt;&gt;""),0),0)),C111)</f>
        <v>Britoil 120</v>
      </c>
      <c r="V111" s="120">
        <f t="shared" si="16"/>
        <v>1.3</v>
      </c>
      <c r="W111" s="120">
        <v>33000</v>
      </c>
      <c r="X111" s="120"/>
      <c r="Y111" s="120">
        <f t="shared" si="17"/>
        <v>37400</v>
      </c>
      <c r="Z111" s="121"/>
    </row>
    <row r="112" spans="1:34" ht="25" customHeight="1" outlineLevel="1" x14ac:dyDescent="0.35">
      <c r="B112" s="161"/>
      <c r="C112" s="161"/>
      <c r="D112" s="161"/>
      <c r="E112" s="6" t="s">
        <v>103</v>
      </c>
      <c r="F112" s="32" t="s">
        <v>17</v>
      </c>
      <c r="G112" s="37">
        <v>45733</v>
      </c>
      <c r="H112" s="61">
        <f t="shared" si="13"/>
        <v>0</v>
      </c>
      <c r="I112" s="61">
        <f t="shared" si="14"/>
        <v>3900</v>
      </c>
      <c r="J112" s="62">
        <f t="shared" si="15"/>
        <v>0</v>
      </c>
      <c r="K112" s="161"/>
      <c r="L112" s="45" t="s">
        <v>125</v>
      </c>
      <c r="U112" s="119" t="str" cm="1">
        <f t="array" ref="U112">IF(C112="",INDEX(C106:C112,MATCH(TRUE,INDEX((C106:C112&lt;&gt;""),0),0)),C112)</f>
        <v>Britoil 120</v>
      </c>
      <c r="V112" s="120">
        <f t="shared" si="16"/>
        <v>1.3</v>
      </c>
      <c r="W112" s="120">
        <v>33000</v>
      </c>
      <c r="X112" s="120"/>
      <c r="Y112" s="120">
        <f t="shared" si="17"/>
        <v>37400</v>
      </c>
      <c r="Z112" s="121"/>
      <c r="AC112" s="8" t="s">
        <v>249</v>
      </c>
      <c r="AD112" s="8" t="s">
        <v>250</v>
      </c>
      <c r="AE112" s="8" t="s">
        <v>252</v>
      </c>
    </row>
    <row r="113" spans="1:31" ht="25" customHeight="1" outlineLevel="1" x14ac:dyDescent="0.35">
      <c r="B113" s="161"/>
      <c r="C113" s="161"/>
      <c r="D113" s="161"/>
      <c r="E113" s="6" t="s">
        <v>109</v>
      </c>
      <c r="F113" s="32" t="s">
        <v>21</v>
      </c>
      <c r="G113" s="37"/>
      <c r="H113" s="61" t="str">
        <f t="shared" si="13"/>
        <v/>
      </c>
      <c r="I113" s="61" t="str">
        <f t="shared" si="14"/>
        <v/>
      </c>
      <c r="J113" s="62" t="str">
        <f t="shared" si="15"/>
        <v/>
      </c>
      <c r="K113" s="161"/>
      <c r="L113" s="45"/>
      <c r="U113" s="119" t="str" cm="1">
        <f t="array" ref="U113">IF(C113="",INDEX(C107:C113,MATCH(TRUE,INDEX((C107:C113&lt;&gt;""),0),0)),C113)</f>
        <v>Britoil 120</v>
      </c>
      <c r="V113" s="120">
        <f t="shared" si="16"/>
        <v>1.3</v>
      </c>
      <c r="W113" s="120">
        <v>33000</v>
      </c>
      <c r="X113" s="120"/>
      <c r="Y113" s="120">
        <f t="shared" si="17"/>
        <v>37400</v>
      </c>
      <c r="Z113" s="121"/>
      <c r="AC113" s="8">
        <f>SUM(AH30:AH98)</f>
        <v>1379885.8333333335</v>
      </c>
      <c r="AD113" s="8">
        <v>20</v>
      </c>
      <c r="AE113" s="8">
        <v>880</v>
      </c>
    </row>
    <row r="114" spans="1:31" ht="25" customHeight="1" outlineLevel="1" x14ac:dyDescent="0.35">
      <c r="B114" s="161"/>
      <c r="C114" s="161"/>
      <c r="D114" s="161"/>
      <c r="E114" s="6" t="s">
        <v>110</v>
      </c>
      <c r="F114" s="32" t="s">
        <v>17</v>
      </c>
      <c r="G114" s="37"/>
      <c r="H114" s="61">
        <f t="shared" si="13"/>
        <v>0</v>
      </c>
      <c r="I114" s="61">
        <f t="shared" si="14"/>
        <v>650</v>
      </c>
      <c r="J114" s="62">
        <f t="shared" si="15"/>
        <v>0</v>
      </c>
      <c r="K114" s="161"/>
      <c r="L114" s="45"/>
      <c r="U114" s="119" t="str" cm="1">
        <f t="array" ref="U114">IF(C114="",INDEX(C108:C114,MATCH(TRUE,INDEX((C108:C114&lt;&gt;""),0),0)),C114)</f>
        <v>Britoil 120</v>
      </c>
      <c r="V114" s="120">
        <f t="shared" si="16"/>
        <v>1.3</v>
      </c>
      <c r="W114" s="120">
        <v>33000</v>
      </c>
      <c r="X114" s="120"/>
      <c r="Y114" s="120">
        <f t="shared" si="17"/>
        <v>37400</v>
      </c>
      <c r="Z114" s="121"/>
      <c r="AC114" s="8" t="s">
        <v>251</v>
      </c>
      <c r="AD114" s="8" t="s">
        <v>253</v>
      </c>
      <c r="AE114" s="8" t="s">
        <v>254</v>
      </c>
    </row>
    <row r="115" spans="1:31" ht="25" customHeight="1" outlineLevel="1" x14ac:dyDescent="0.35">
      <c r="B115" s="161"/>
      <c r="C115" s="161"/>
      <c r="D115" s="161"/>
      <c r="E115" s="6" t="s">
        <v>106</v>
      </c>
      <c r="F115" s="32" t="s">
        <v>21</v>
      </c>
      <c r="G115" s="37"/>
      <c r="H115" s="61" t="str">
        <f t="shared" si="13"/>
        <v/>
      </c>
      <c r="I115" s="61" t="str">
        <f t="shared" si="14"/>
        <v/>
      </c>
      <c r="J115" s="62" t="str">
        <f t="shared" si="15"/>
        <v/>
      </c>
      <c r="K115" s="161"/>
      <c r="L115" s="45"/>
      <c r="U115" s="119" t="str" cm="1">
        <f t="array" ref="U115">IF(C115="",INDEX(C109:C115,MATCH(TRUE,INDEX((C109:C115&lt;&gt;""),0),0)),C115)</f>
        <v>Britoil 120</v>
      </c>
      <c r="V115" s="120">
        <f t="shared" si="16"/>
        <v>1.3</v>
      </c>
      <c r="W115" s="120">
        <v>33000</v>
      </c>
      <c r="X115" s="120"/>
      <c r="Y115" s="120">
        <f t="shared" si="17"/>
        <v>37400</v>
      </c>
      <c r="Z115" s="121"/>
      <c r="AC115" s="8">
        <f>AC113*AD113/1000</f>
        <v>27597.716666666671</v>
      </c>
      <c r="AD115" s="8">
        <f>AC115*0.88</f>
        <v>24285.990666666672</v>
      </c>
      <c r="AE115" s="8">
        <f>AD115*600</f>
        <v>14571594.400000004</v>
      </c>
    </row>
    <row r="116" spans="1:31" ht="25" customHeight="1" outlineLevel="1" x14ac:dyDescent="0.35">
      <c r="B116" s="162"/>
      <c r="C116" s="162"/>
      <c r="D116" s="162"/>
      <c r="E116" s="7" t="s">
        <v>14</v>
      </c>
      <c r="F116" s="32" t="s">
        <v>17</v>
      </c>
      <c r="G116" s="37"/>
      <c r="H116" s="61">
        <f t="shared" si="13"/>
        <v>1950</v>
      </c>
      <c r="I116" s="61">
        <f t="shared" si="14"/>
        <v>8060</v>
      </c>
      <c r="J116" s="62">
        <f t="shared" si="15"/>
        <v>10.4</v>
      </c>
      <c r="K116" s="162"/>
      <c r="L116" s="46"/>
      <c r="U116" s="119" t="str" cm="1">
        <f t="array" ref="U116">IF(C116="",INDEX(C110:C116,MATCH(TRUE,INDEX((C110:C116&lt;&gt;""),0),0)),C116)</f>
        <v>Britoil 120</v>
      </c>
      <c r="V116" s="120">
        <f t="shared" si="16"/>
        <v>1.3</v>
      </c>
      <c r="W116" s="120">
        <v>33000</v>
      </c>
      <c r="X116" s="120"/>
      <c r="Y116" s="120">
        <f t="shared" si="17"/>
        <v>37400</v>
      </c>
      <c r="Z116" s="121"/>
    </row>
    <row r="117" spans="1:31" ht="30" customHeight="1" x14ac:dyDescent="0.35">
      <c r="A117" s="8" t="s">
        <v>133</v>
      </c>
      <c r="B117" s="163">
        <v>21</v>
      </c>
      <c r="C117" s="163" t="s">
        <v>39</v>
      </c>
      <c r="D117" s="163" t="s">
        <v>38</v>
      </c>
      <c r="E117" s="26" t="s">
        <v>102</v>
      </c>
      <c r="F117" s="31"/>
      <c r="G117" s="34"/>
      <c r="H117" s="55" t="str">
        <f t="shared" si="13"/>
        <v/>
      </c>
      <c r="I117" s="55" t="str">
        <f t="shared" si="14"/>
        <v/>
      </c>
      <c r="J117" s="56" t="str">
        <f t="shared" si="15"/>
        <v/>
      </c>
      <c r="K117" s="163" t="s">
        <v>144</v>
      </c>
      <c r="L117" s="41"/>
      <c r="U117" s="119" t="str" cm="1">
        <f t="array" ref="U117">IF(C117="",INDEX(C111:C117,MATCH(TRUE,INDEX((C111:C117&lt;&gt;""),0),0)),C117)</f>
        <v>Britoil 121</v>
      </c>
      <c r="V117" s="120">
        <f t="shared" si="16"/>
        <v>1.3</v>
      </c>
      <c r="W117" s="120">
        <v>33000</v>
      </c>
      <c r="X117" s="120" t="s">
        <v>157</v>
      </c>
      <c r="Y117" s="120">
        <f t="shared" si="17"/>
        <v>37400</v>
      </c>
      <c r="Z117" s="121"/>
      <c r="AC117" s="8" t="s">
        <v>311</v>
      </c>
      <c r="AD117" s="8">
        <f>AD121*625</f>
        <v>14328750</v>
      </c>
    </row>
    <row r="118" spans="1:31" ht="25" customHeight="1" outlineLevel="1" x14ac:dyDescent="0.35">
      <c r="B118" s="164"/>
      <c r="C118" s="164"/>
      <c r="D118" s="164"/>
      <c r="E118" s="3" t="s">
        <v>13</v>
      </c>
      <c r="F118" s="31" t="s">
        <v>21</v>
      </c>
      <c r="G118" s="35"/>
      <c r="H118" s="57" t="str">
        <f t="shared" si="13"/>
        <v/>
      </c>
      <c r="I118" s="57" t="str">
        <f t="shared" si="14"/>
        <v/>
      </c>
      <c r="J118" s="58" t="str">
        <f t="shared" si="15"/>
        <v/>
      </c>
      <c r="K118" s="164"/>
      <c r="L118" s="42"/>
      <c r="U118" s="119" t="str" cm="1">
        <f t="array" ref="U118">IF(C118="",INDEX(C112:C118,MATCH(TRUE,INDEX((C112:C118&lt;&gt;""),0),0)),C118)</f>
        <v>Britoil 121</v>
      </c>
      <c r="V118" s="120">
        <f t="shared" si="16"/>
        <v>1.3</v>
      </c>
      <c r="W118" s="120">
        <v>33000</v>
      </c>
      <c r="X118" s="120"/>
      <c r="Y118" s="120">
        <f t="shared" si="17"/>
        <v>37400</v>
      </c>
      <c r="Z118" s="121"/>
      <c r="AC118" s="8" t="s">
        <v>312</v>
      </c>
      <c r="AD118" s="8">
        <f>250000*A473</f>
        <v>16750000</v>
      </c>
    </row>
    <row r="119" spans="1:31" ht="25" customHeight="1" outlineLevel="1" x14ac:dyDescent="0.35">
      <c r="B119" s="164"/>
      <c r="C119" s="164"/>
      <c r="D119" s="164"/>
      <c r="E119" s="3" t="s">
        <v>109</v>
      </c>
      <c r="F119" s="31" t="s">
        <v>21</v>
      </c>
      <c r="G119" s="35"/>
      <c r="H119" s="57" t="str">
        <f t="shared" si="13"/>
        <v/>
      </c>
      <c r="I119" s="57" t="str">
        <f t="shared" si="14"/>
        <v/>
      </c>
      <c r="J119" s="58" t="str">
        <f t="shared" si="15"/>
        <v/>
      </c>
      <c r="K119" s="164"/>
      <c r="L119" s="42"/>
      <c r="U119" s="119" t="str" cm="1">
        <f t="array" ref="U119">IF(C119="",INDEX(C113:C119,MATCH(TRUE,INDEX((C113:C119&lt;&gt;""),0),0)),C119)</f>
        <v>Britoil 121</v>
      </c>
      <c r="V119" s="120">
        <f t="shared" si="16"/>
        <v>1.3</v>
      </c>
      <c r="W119" s="120">
        <v>33000</v>
      </c>
      <c r="X119" s="120"/>
      <c r="Y119" s="120">
        <f t="shared" si="17"/>
        <v>37400</v>
      </c>
      <c r="Z119" s="121"/>
      <c r="AC119" s="8" t="s">
        <v>313</v>
      </c>
      <c r="AE119" s="8">
        <f>AD118+AD117</f>
        <v>31078750</v>
      </c>
    </row>
    <row r="120" spans="1:31" ht="25" customHeight="1" outlineLevel="1" x14ac:dyDescent="0.35">
      <c r="B120" s="164"/>
      <c r="C120" s="164"/>
      <c r="D120" s="164"/>
      <c r="E120" s="3" t="s">
        <v>110</v>
      </c>
      <c r="F120" s="31" t="s">
        <v>17</v>
      </c>
      <c r="G120" s="35"/>
      <c r="H120" s="57">
        <f t="shared" si="13"/>
        <v>0</v>
      </c>
      <c r="I120" s="57">
        <f t="shared" si="14"/>
        <v>650</v>
      </c>
      <c r="J120" s="58">
        <f t="shared" si="15"/>
        <v>0</v>
      </c>
      <c r="K120" s="164"/>
      <c r="L120" s="42" t="s">
        <v>145</v>
      </c>
      <c r="U120" s="119" t="str" cm="1">
        <f t="array" ref="U120">IF(C120="",INDEX(C114:C120,MATCH(TRUE,INDEX((C114:C120&lt;&gt;""),0),0)),C120)</f>
        <v>Britoil 121</v>
      </c>
      <c r="V120" s="120">
        <f t="shared" si="16"/>
        <v>1.3</v>
      </c>
      <c r="W120" s="120">
        <v>33000</v>
      </c>
      <c r="X120" s="120"/>
      <c r="Y120" s="120">
        <f t="shared" si="17"/>
        <v>37400</v>
      </c>
      <c r="Z120" s="121"/>
    </row>
    <row r="121" spans="1:31" ht="25" customHeight="1" outlineLevel="1" x14ac:dyDescent="0.35">
      <c r="B121" s="164"/>
      <c r="C121" s="164"/>
      <c r="D121" s="164"/>
      <c r="E121" s="3" t="s">
        <v>106</v>
      </c>
      <c r="F121" s="31" t="s">
        <v>21</v>
      </c>
      <c r="G121" s="35"/>
      <c r="H121" s="57" t="str">
        <f t="shared" si="13"/>
        <v/>
      </c>
      <c r="I121" s="57" t="str">
        <f t="shared" si="14"/>
        <v/>
      </c>
      <c r="J121" s="58" t="str">
        <f t="shared" si="15"/>
        <v/>
      </c>
      <c r="K121" s="164"/>
      <c r="L121" s="42"/>
      <c r="U121" s="119" t="str" cm="1">
        <f t="array" ref="U121">IF(C121="",INDEX(C115:C121,MATCH(TRUE,INDEX((C115:C121&lt;&gt;""),0),0)),C121)</f>
        <v>Britoil 121</v>
      </c>
      <c r="V121" s="120">
        <f t="shared" si="16"/>
        <v>1.3</v>
      </c>
      <c r="W121" s="120">
        <v>33000</v>
      </c>
      <c r="X121" s="120"/>
      <c r="Y121" s="120">
        <f t="shared" si="17"/>
        <v>37400</v>
      </c>
      <c r="Z121" s="121"/>
      <c r="AC121" s="8" t="s">
        <v>314</v>
      </c>
      <c r="AD121" s="8">
        <v>22926</v>
      </c>
      <c r="AE121" s="8" t="s">
        <v>315</v>
      </c>
    </row>
    <row r="122" spans="1:31" ht="25" customHeight="1" outlineLevel="1" x14ac:dyDescent="0.35">
      <c r="B122" s="165"/>
      <c r="C122" s="165"/>
      <c r="D122" s="165"/>
      <c r="E122" s="4" t="s">
        <v>14</v>
      </c>
      <c r="F122" s="31" t="s">
        <v>17</v>
      </c>
      <c r="G122" s="39"/>
      <c r="H122" s="65">
        <f t="shared" si="13"/>
        <v>1950</v>
      </c>
      <c r="I122" s="65">
        <f t="shared" si="14"/>
        <v>8060</v>
      </c>
      <c r="J122" s="66">
        <f t="shared" si="15"/>
        <v>10.4</v>
      </c>
      <c r="K122" s="165"/>
      <c r="L122" s="43"/>
      <c r="U122" s="119" t="str" cm="1">
        <f t="array" ref="U122">IF(C122="",INDEX(C116:C122,MATCH(TRUE,INDEX((C116:C122&lt;&gt;""),0),0)),C122)</f>
        <v>Britoil 121</v>
      </c>
      <c r="V122" s="120">
        <f t="shared" si="16"/>
        <v>1.3</v>
      </c>
      <c r="W122" s="120">
        <v>33000</v>
      </c>
      <c r="X122" s="120"/>
      <c r="Y122" s="120">
        <f t="shared" si="17"/>
        <v>37400</v>
      </c>
      <c r="Z122" s="121"/>
    </row>
    <row r="123" spans="1:31" ht="30" customHeight="1" x14ac:dyDescent="0.35">
      <c r="A123" s="8" t="s">
        <v>133</v>
      </c>
      <c r="B123" s="160">
        <v>22</v>
      </c>
      <c r="C123" s="160" t="s">
        <v>40</v>
      </c>
      <c r="D123" s="160" t="s">
        <v>41</v>
      </c>
      <c r="E123" s="27" t="s">
        <v>102</v>
      </c>
      <c r="F123" s="32"/>
      <c r="G123" s="37"/>
      <c r="H123" s="61" t="str">
        <f t="shared" si="13"/>
        <v/>
      </c>
      <c r="I123" s="61" t="str">
        <f t="shared" si="14"/>
        <v/>
      </c>
      <c r="J123" s="62" t="str">
        <f t="shared" si="15"/>
        <v/>
      </c>
      <c r="K123" s="6"/>
      <c r="L123" s="44"/>
      <c r="U123" s="119" t="str" cm="1">
        <f t="array" ref="U123">IF(C123="",INDEX(C117:C123,MATCH(TRUE,INDEX((C117:C123&lt;&gt;""),0),0)),C123)</f>
        <v>Britoil Destiny</v>
      </c>
      <c r="V123" s="120">
        <f t="shared" si="16"/>
        <v>0.98087712736113708</v>
      </c>
      <c r="W123" s="120">
        <v>21600</v>
      </c>
      <c r="X123" s="120"/>
      <c r="Y123" s="120">
        <f t="shared" si="17"/>
        <v>20979</v>
      </c>
      <c r="Z123" s="121"/>
      <c r="AC123" s="8" t="s">
        <v>316</v>
      </c>
      <c r="AD123" s="154">
        <f>SUM(Tracker!H9:H491)/AD117</f>
        <v>7.3772553683058351E-2</v>
      </c>
    </row>
    <row r="124" spans="1:31" ht="25" customHeight="1" outlineLevel="1" x14ac:dyDescent="0.35">
      <c r="B124" s="161"/>
      <c r="C124" s="161"/>
      <c r="D124" s="161"/>
      <c r="E124" s="6" t="s">
        <v>13</v>
      </c>
      <c r="F124" s="32" t="s">
        <v>17</v>
      </c>
      <c r="G124" s="37"/>
      <c r="H124" s="61">
        <f t="shared" si="13"/>
        <v>10789.648400972508</v>
      </c>
      <c r="I124" s="61">
        <f t="shared" si="14"/>
        <v>3138.8068075556384</v>
      </c>
      <c r="J124" s="62">
        <f t="shared" si="15"/>
        <v>62.776136151112773</v>
      </c>
      <c r="K124" s="6"/>
      <c r="L124" s="45"/>
      <c r="U124" s="119" t="str" cm="1">
        <f t="array" ref="U124">IF(C124="",INDEX(C118:C124,MATCH(TRUE,INDEX((C118:C124&lt;&gt;""),0),0)),C124)</f>
        <v>Britoil Destiny</v>
      </c>
      <c r="V124" s="120">
        <f t="shared" si="16"/>
        <v>0.98087712736113708</v>
      </c>
      <c r="W124" s="120">
        <v>21600</v>
      </c>
      <c r="X124" s="120"/>
      <c r="Y124" s="120">
        <f t="shared" si="17"/>
        <v>20979</v>
      </c>
      <c r="Z124" s="121"/>
    </row>
    <row r="125" spans="1:31" ht="25" customHeight="1" outlineLevel="1" x14ac:dyDescent="0.35">
      <c r="B125" s="161"/>
      <c r="C125" s="161"/>
      <c r="D125" s="161"/>
      <c r="E125" s="6" t="s">
        <v>103</v>
      </c>
      <c r="F125" s="32" t="s">
        <v>32</v>
      </c>
      <c r="G125" s="37"/>
      <c r="H125" s="61" t="str">
        <f t="shared" si="13"/>
        <v/>
      </c>
      <c r="I125" s="61" t="str">
        <f t="shared" si="14"/>
        <v/>
      </c>
      <c r="J125" s="62" t="str">
        <f t="shared" si="15"/>
        <v/>
      </c>
      <c r="K125" s="6"/>
      <c r="L125" s="45"/>
      <c r="U125" s="119" t="str" cm="1">
        <f t="array" ref="U125">IF(C125="",INDEX(C119:C125,MATCH(TRUE,INDEX((C119:C125&lt;&gt;""),0),0)),C125)</f>
        <v>Britoil Destiny</v>
      </c>
      <c r="V125" s="120">
        <f t="shared" si="16"/>
        <v>0.98087712736113708</v>
      </c>
      <c r="W125" s="120">
        <v>21600</v>
      </c>
      <c r="X125" s="120"/>
      <c r="Y125" s="120">
        <f t="shared" si="17"/>
        <v>20979</v>
      </c>
      <c r="Z125" s="121"/>
    </row>
    <row r="126" spans="1:31" ht="25" customHeight="1" outlineLevel="1" x14ac:dyDescent="0.35">
      <c r="B126" s="161"/>
      <c r="C126" s="161"/>
      <c r="D126" s="161"/>
      <c r="E126" s="6" t="s">
        <v>106</v>
      </c>
      <c r="F126" s="32" t="s">
        <v>21</v>
      </c>
      <c r="G126" s="37"/>
      <c r="H126" s="61" t="str">
        <f t="shared" si="13"/>
        <v/>
      </c>
      <c r="I126" s="61" t="str">
        <f t="shared" si="14"/>
        <v/>
      </c>
      <c r="J126" s="62" t="str">
        <f t="shared" si="15"/>
        <v/>
      </c>
      <c r="K126" s="6"/>
      <c r="L126" s="45"/>
      <c r="U126" s="119" t="str" cm="1">
        <f t="array" ref="U126">IF(C126="",INDEX(C120:C126,MATCH(TRUE,INDEX((C120:C126&lt;&gt;""),0),0)),C126)</f>
        <v>Britoil Destiny</v>
      </c>
      <c r="V126" s="120">
        <f t="shared" si="16"/>
        <v>0.98087712736113708</v>
      </c>
      <c r="W126" s="120">
        <v>21600</v>
      </c>
      <c r="X126" s="120"/>
      <c r="Y126" s="120">
        <f t="shared" si="17"/>
        <v>20979</v>
      </c>
      <c r="Z126" s="121"/>
    </row>
    <row r="127" spans="1:31" ht="25" customHeight="1" outlineLevel="1" x14ac:dyDescent="0.35">
      <c r="B127" s="161"/>
      <c r="C127" s="161"/>
      <c r="D127" s="161"/>
      <c r="E127" s="6" t="s">
        <v>109</v>
      </c>
      <c r="F127" s="32" t="s">
        <v>21</v>
      </c>
      <c r="G127" s="37"/>
      <c r="H127" s="61" t="str">
        <f t="shared" si="13"/>
        <v/>
      </c>
      <c r="I127" s="61" t="str">
        <f t="shared" si="14"/>
        <v/>
      </c>
      <c r="J127" s="62" t="str">
        <f t="shared" si="15"/>
        <v/>
      </c>
      <c r="K127" s="6"/>
      <c r="L127" s="45"/>
      <c r="U127" s="119" t="str" cm="1">
        <f t="array" ref="U127">IF(C127="",INDEX(C121:C127,MATCH(TRUE,INDEX((C121:C127&lt;&gt;""),0),0)),C127)</f>
        <v>Britoil Destiny</v>
      </c>
      <c r="V127" s="120">
        <f t="shared" si="16"/>
        <v>0.98087712736113708</v>
      </c>
      <c r="W127" s="120">
        <v>21600</v>
      </c>
      <c r="X127" s="120"/>
      <c r="Y127" s="120">
        <f t="shared" si="17"/>
        <v>20979</v>
      </c>
      <c r="Z127" s="121"/>
    </row>
    <row r="128" spans="1:31" ht="25" customHeight="1" outlineLevel="1" x14ac:dyDescent="0.35">
      <c r="B128" s="161"/>
      <c r="C128" s="161"/>
      <c r="D128" s="161"/>
      <c r="E128" s="6" t="s">
        <v>290</v>
      </c>
      <c r="F128" s="32" t="s">
        <v>105</v>
      </c>
      <c r="G128" s="37"/>
      <c r="H128" s="61" t="str">
        <f t="shared" si="13"/>
        <v/>
      </c>
      <c r="I128" s="61" t="str">
        <f t="shared" si="14"/>
        <v/>
      </c>
      <c r="J128" s="62" t="str">
        <f t="shared" si="15"/>
        <v/>
      </c>
      <c r="K128" s="6"/>
      <c r="L128" s="45"/>
      <c r="U128" s="119" t="str" cm="1">
        <f t="array" ref="U128">IF(C128="",INDEX(C122:C128,MATCH(TRUE,INDEX((C122:C128&lt;&gt;""),0),0)),C128)</f>
        <v>Britoil Destiny</v>
      </c>
      <c r="V128" s="120">
        <f t="shared" ref="V128" si="20">MIN(Y128/21388,1.3)</f>
        <v>0.98087712736113708</v>
      </c>
      <c r="W128" s="120">
        <v>21601</v>
      </c>
      <c r="X128" s="120"/>
      <c r="Y128" s="120">
        <f t="shared" ref="Y128" si="21">INT(VLOOKUP(U128, $AB$30:$AH$101, 7, FALSE))</f>
        <v>20979</v>
      </c>
      <c r="Z128" s="121"/>
    </row>
    <row r="129" spans="1:26" ht="25" customHeight="1" outlineLevel="1" x14ac:dyDescent="0.35">
      <c r="B129" s="161"/>
      <c r="C129" s="161"/>
      <c r="D129" s="161"/>
      <c r="E129" s="6" t="s">
        <v>110</v>
      </c>
      <c r="F129" s="32" t="s">
        <v>17</v>
      </c>
      <c r="G129" s="37"/>
      <c r="H129" s="61">
        <f t="shared" si="13"/>
        <v>0</v>
      </c>
      <c r="I129" s="61">
        <f t="shared" si="14"/>
        <v>490.43856368056856</v>
      </c>
      <c r="J129" s="62">
        <f t="shared" si="15"/>
        <v>0</v>
      </c>
      <c r="K129" s="6"/>
      <c r="L129" s="45"/>
      <c r="U129" s="119" t="str" cm="1">
        <f t="array" ref="U129">IF(C129="",INDEX(C122:C129,MATCH(TRUE,INDEX((C122:C129&lt;&gt;""),0),0)),C129)</f>
        <v>Britoil Destiny</v>
      </c>
      <c r="V129" s="120">
        <f t="shared" si="16"/>
        <v>0.98087712736113708</v>
      </c>
      <c r="W129" s="120">
        <v>21600</v>
      </c>
      <c r="X129" s="120"/>
      <c r="Y129" s="120">
        <f t="shared" si="17"/>
        <v>20979</v>
      </c>
      <c r="Z129" s="121"/>
    </row>
    <row r="130" spans="1:26" ht="25" customHeight="1" outlineLevel="1" x14ac:dyDescent="0.35">
      <c r="B130" s="162"/>
      <c r="C130" s="162"/>
      <c r="D130" s="162"/>
      <c r="E130" s="7" t="s">
        <v>14</v>
      </c>
      <c r="F130" s="32" t="s">
        <v>17</v>
      </c>
      <c r="G130" s="37">
        <v>45776</v>
      </c>
      <c r="H130" s="61">
        <f t="shared" si="13"/>
        <v>1471.3156910417056</v>
      </c>
      <c r="I130" s="61">
        <f t="shared" si="14"/>
        <v>6081.4381896390496</v>
      </c>
      <c r="J130" s="62">
        <f t="shared" si="15"/>
        <v>7.8470170188890966</v>
      </c>
      <c r="K130" s="6"/>
      <c r="L130" s="46"/>
      <c r="U130" s="119" t="str" cm="1">
        <f t="array" ref="U130">IF(C130="",INDEX(C123:C130,MATCH(TRUE,INDEX((C123:C130&lt;&gt;""),0),0)),C130)</f>
        <v>Britoil Destiny</v>
      </c>
      <c r="V130" s="120">
        <f t="shared" si="16"/>
        <v>0.98087712736113708</v>
      </c>
      <c r="W130" s="120">
        <v>21600</v>
      </c>
      <c r="X130" s="120"/>
      <c r="Y130" s="120">
        <f t="shared" si="17"/>
        <v>20979</v>
      </c>
      <c r="Z130" s="121"/>
    </row>
    <row r="131" spans="1:26" ht="30" customHeight="1" x14ac:dyDescent="0.35">
      <c r="A131" s="8" t="s">
        <v>133</v>
      </c>
      <c r="B131" s="163">
        <v>23</v>
      </c>
      <c r="C131" s="163" t="s">
        <v>42</v>
      </c>
      <c r="D131" s="163" t="s">
        <v>41</v>
      </c>
      <c r="E131" s="26" t="s">
        <v>102</v>
      </c>
      <c r="F131" s="31"/>
      <c r="G131" s="34"/>
      <c r="H131" s="55" t="str">
        <f t="shared" si="13"/>
        <v/>
      </c>
      <c r="I131" s="55" t="str">
        <f t="shared" si="14"/>
        <v/>
      </c>
      <c r="J131" s="56" t="str">
        <f t="shared" si="15"/>
        <v/>
      </c>
      <c r="K131" s="2"/>
      <c r="L131" s="41"/>
      <c r="U131" s="119" t="str" cm="1">
        <f t="array" ref="U131">IF(C131="",INDEX(C124:C131,MATCH(TRUE,INDEX((C124:C131&lt;&gt;""),0),0)),C131)</f>
        <v>Britoil Discovery</v>
      </c>
      <c r="V131" s="120">
        <f t="shared" si="16"/>
        <v>1</v>
      </c>
      <c r="W131" s="120">
        <v>21600</v>
      </c>
      <c r="X131" s="120" t="s">
        <v>156</v>
      </c>
      <c r="Y131" s="120">
        <f t="shared" si="17"/>
        <v>21388</v>
      </c>
      <c r="Z131" s="121"/>
    </row>
    <row r="132" spans="1:26" ht="25" customHeight="1" outlineLevel="1" x14ac:dyDescent="0.35">
      <c r="B132" s="164"/>
      <c r="C132" s="164"/>
      <c r="D132" s="164"/>
      <c r="E132" s="3" t="s">
        <v>13</v>
      </c>
      <c r="F132" s="31" t="s">
        <v>17</v>
      </c>
      <c r="G132" s="35"/>
      <c r="H132" s="57">
        <f t="shared" si="13"/>
        <v>11000</v>
      </c>
      <c r="I132" s="57">
        <f t="shared" si="14"/>
        <v>3200</v>
      </c>
      <c r="J132" s="58">
        <f t="shared" si="15"/>
        <v>64</v>
      </c>
      <c r="K132" s="3"/>
      <c r="L132" s="42"/>
      <c r="U132" s="119" t="str" cm="1">
        <f t="array" ref="U132">IF(C132="",INDEX(C125:C132,MATCH(TRUE,INDEX((C125:C132&lt;&gt;""),0),0)),C132)</f>
        <v>Britoil Discovery</v>
      </c>
      <c r="V132" s="120">
        <f t="shared" si="16"/>
        <v>1</v>
      </c>
      <c r="W132" s="120">
        <v>21600</v>
      </c>
      <c r="X132" s="120"/>
      <c r="Y132" s="120">
        <f t="shared" si="17"/>
        <v>21388</v>
      </c>
      <c r="Z132" s="121"/>
    </row>
    <row r="133" spans="1:26" ht="25" customHeight="1" outlineLevel="1" x14ac:dyDescent="0.35">
      <c r="B133" s="164"/>
      <c r="C133" s="164"/>
      <c r="D133" s="164"/>
      <c r="E133" s="3" t="s">
        <v>109</v>
      </c>
      <c r="F133" s="31" t="s">
        <v>21</v>
      </c>
      <c r="G133" s="35"/>
      <c r="H133" s="57" t="str">
        <f t="shared" si="13"/>
        <v/>
      </c>
      <c r="I133" s="57" t="str">
        <f t="shared" si="14"/>
        <v/>
      </c>
      <c r="J133" s="58" t="str">
        <f t="shared" si="15"/>
        <v/>
      </c>
      <c r="K133" s="3"/>
      <c r="L133" s="42"/>
      <c r="U133" s="119" t="str" cm="1">
        <f t="array" ref="U133">IF(C133="",INDEX(C126:C133,MATCH(TRUE,INDEX((C126:C133&lt;&gt;""),0),0)),C133)</f>
        <v>Britoil Discovery</v>
      </c>
      <c r="V133" s="120">
        <f t="shared" si="16"/>
        <v>1</v>
      </c>
      <c r="W133" s="120">
        <v>21600</v>
      </c>
      <c r="X133" s="120"/>
      <c r="Y133" s="120">
        <f t="shared" si="17"/>
        <v>21388</v>
      </c>
      <c r="Z133" s="121"/>
    </row>
    <row r="134" spans="1:26" ht="25" customHeight="1" outlineLevel="1" x14ac:dyDescent="0.35">
      <c r="B134" s="164"/>
      <c r="C134" s="164"/>
      <c r="D134" s="164"/>
      <c r="E134" s="3" t="s">
        <v>110</v>
      </c>
      <c r="F134" s="31" t="s">
        <v>17</v>
      </c>
      <c r="G134" s="35"/>
      <c r="H134" s="57">
        <f t="shared" si="13"/>
        <v>0</v>
      </c>
      <c r="I134" s="57">
        <f t="shared" si="14"/>
        <v>500</v>
      </c>
      <c r="J134" s="58">
        <f t="shared" si="15"/>
        <v>0</v>
      </c>
      <c r="K134" s="3"/>
      <c r="L134" s="42"/>
      <c r="U134" s="119" t="str" cm="1">
        <f t="array" ref="U134">IF(C134="",INDEX(C127:C134,MATCH(TRUE,INDEX((C127:C134&lt;&gt;""),0),0)),C134)</f>
        <v>Britoil Discovery</v>
      </c>
      <c r="V134" s="120">
        <f t="shared" si="16"/>
        <v>1</v>
      </c>
      <c r="W134" s="120">
        <v>21600</v>
      </c>
      <c r="X134" s="120"/>
      <c r="Y134" s="120">
        <f t="shared" si="17"/>
        <v>21388</v>
      </c>
      <c r="Z134" s="121"/>
    </row>
    <row r="135" spans="1:26" ht="25" customHeight="1" outlineLevel="1" x14ac:dyDescent="0.35">
      <c r="B135" s="164"/>
      <c r="C135" s="164"/>
      <c r="D135" s="164"/>
      <c r="E135" s="3" t="s">
        <v>106</v>
      </c>
      <c r="F135" s="31" t="s">
        <v>17</v>
      </c>
      <c r="G135" s="35"/>
      <c r="H135" s="67">
        <f t="shared" si="13"/>
        <v>8300</v>
      </c>
      <c r="I135" s="67">
        <f t="shared" si="14"/>
        <v>4000</v>
      </c>
      <c r="J135" s="58">
        <f t="shared" si="15"/>
        <v>85</v>
      </c>
      <c r="K135" s="3"/>
      <c r="L135" s="42"/>
      <c r="U135" s="119" t="str" cm="1">
        <f t="array" ref="U135">IF(C135="",INDEX(C129:C135,MATCH(TRUE,INDEX((C129:C135&lt;&gt;""),0),0)),C135)</f>
        <v>Britoil Discovery</v>
      </c>
      <c r="V135" s="120">
        <f t="shared" si="16"/>
        <v>1</v>
      </c>
      <c r="W135" s="120">
        <v>21600</v>
      </c>
      <c r="X135" s="120"/>
      <c r="Y135" s="120">
        <f t="shared" si="17"/>
        <v>21388</v>
      </c>
      <c r="Z135" s="121"/>
    </row>
    <row r="136" spans="1:26" ht="25" customHeight="1" outlineLevel="1" x14ac:dyDescent="0.35">
      <c r="B136" s="165"/>
      <c r="C136" s="165"/>
      <c r="D136" s="165"/>
      <c r="E136" s="4" t="s">
        <v>14</v>
      </c>
      <c r="F136" s="31" t="s">
        <v>17</v>
      </c>
      <c r="G136" s="39">
        <v>45776</v>
      </c>
      <c r="H136" s="65">
        <f t="shared" si="13"/>
        <v>1500</v>
      </c>
      <c r="I136" s="65">
        <f t="shared" si="14"/>
        <v>6200</v>
      </c>
      <c r="J136" s="66">
        <f t="shared" si="15"/>
        <v>8</v>
      </c>
      <c r="K136" s="4"/>
      <c r="L136" s="43"/>
      <c r="U136" s="119" t="str" cm="1">
        <f t="array" ref="U136">IF(C136="",INDEX(C130:C136,MATCH(TRUE,INDEX((C130:C136&lt;&gt;""),0),0)),C136)</f>
        <v>Britoil Discovery</v>
      </c>
      <c r="V136" s="120">
        <f t="shared" si="16"/>
        <v>1</v>
      </c>
      <c r="W136" s="120">
        <v>21600</v>
      </c>
      <c r="X136" s="120"/>
      <c r="Y136" s="120">
        <f t="shared" si="17"/>
        <v>21388</v>
      </c>
      <c r="Z136" s="121"/>
    </row>
    <row r="137" spans="1:26" ht="30" customHeight="1" x14ac:dyDescent="0.35">
      <c r="A137" s="8" t="s">
        <v>133</v>
      </c>
      <c r="B137" s="160">
        <v>24</v>
      </c>
      <c r="C137" s="160" t="s">
        <v>43</v>
      </c>
      <c r="D137" s="160" t="s">
        <v>41</v>
      </c>
      <c r="E137" s="27" t="s">
        <v>102</v>
      </c>
      <c r="F137" s="32"/>
      <c r="G137" s="37"/>
      <c r="H137" s="61" t="str">
        <f t="shared" si="13"/>
        <v/>
      </c>
      <c r="I137" s="61" t="str">
        <f t="shared" si="14"/>
        <v/>
      </c>
      <c r="J137" s="62" t="str">
        <f t="shared" si="15"/>
        <v/>
      </c>
      <c r="K137" s="6"/>
      <c r="L137" s="44"/>
      <c r="U137" s="119" t="str" cm="1">
        <f t="array" ref="U137">IF(C137="",INDEX(C131:C137,MATCH(TRUE,INDEX((C131:C137&lt;&gt;""),0),0)),C137)</f>
        <v>Britoil Dragon</v>
      </c>
      <c r="V137" s="120">
        <f t="shared" si="16"/>
        <v>0.98087712736113708</v>
      </c>
      <c r="W137" s="120">
        <v>21600</v>
      </c>
      <c r="X137" s="120"/>
      <c r="Y137" s="120">
        <f t="shared" si="17"/>
        <v>20979</v>
      </c>
      <c r="Z137" s="121"/>
    </row>
    <row r="138" spans="1:26" ht="25" customHeight="1" outlineLevel="1" x14ac:dyDescent="0.35">
      <c r="B138" s="161"/>
      <c r="C138" s="161"/>
      <c r="D138" s="161"/>
      <c r="E138" s="6" t="s">
        <v>13</v>
      </c>
      <c r="F138" s="32" t="s">
        <v>105</v>
      </c>
      <c r="G138" s="37"/>
      <c r="H138" s="61" t="str">
        <f t="shared" ref="H138:H201" si="22">IF(F138="Done", V138*VLOOKUP(E138, $AB$3:$AC$16, 2, FALSE), "")</f>
        <v/>
      </c>
      <c r="I138" s="61" t="str">
        <f t="shared" ref="I138:I201" si="23">IF(F138="Done", V138*VLOOKUP(E138, $AB$3:$AD$16, 3, FALSE), "")</f>
        <v/>
      </c>
      <c r="J138" s="62" t="str">
        <f t="shared" ref="J138:J201" si="24">IF(F138="Done", V138*VLOOKUP(E138, $AB$3:$AE$16, 4, FALSE), "")</f>
        <v/>
      </c>
      <c r="K138" s="6"/>
      <c r="L138" s="45"/>
      <c r="U138" s="119" t="str" cm="1">
        <f t="array" ref="U138">IF(C138="",INDEX(C132:C138,MATCH(TRUE,INDEX((C132:C138&lt;&gt;""),0),0)),C138)</f>
        <v>Britoil Dragon</v>
      </c>
      <c r="V138" s="120">
        <f t="shared" si="16"/>
        <v>0.98087712736113708</v>
      </c>
      <c r="W138" s="120">
        <v>21600</v>
      </c>
      <c r="X138" s="120"/>
      <c r="Y138" s="120">
        <f t="shared" si="17"/>
        <v>20979</v>
      </c>
      <c r="Z138" s="121"/>
    </row>
    <row r="139" spans="1:26" ht="25" customHeight="1" outlineLevel="1" x14ac:dyDescent="0.35">
      <c r="B139" s="161"/>
      <c r="C139" s="161"/>
      <c r="D139" s="161"/>
      <c r="E139" s="6" t="s">
        <v>103</v>
      </c>
      <c r="F139" s="32" t="s">
        <v>32</v>
      </c>
      <c r="G139" s="37"/>
      <c r="H139" s="61" t="str">
        <f t="shared" si="22"/>
        <v/>
      </c>
      <c r="I139" s="61" t="str">
        <f t="shared" si="23"/>
        <v/>
      </c>
      <c r="J139" s="62" t="str">
        <f t="shared" si="24"/>
        <v/>
      </c>
      <c r="K139" s="6"/>
      <c r="L139" s="45"/>
      <c r="U139" s="119" t="str" cm="1">
        <f t="array" ref="U139">IF(C139="",INDEX(C133:C139,MATCH(TRUE,INDEX((C133:C139&lt;&gt;""),0),0)),C139)</f>
        <v>Britoil Dragon</v>
      </c>
      <c r="V139" s="120">
        <f t="shared" si="16"/>
        <v>0.98087712736113708</v>
      </c>
      <c r="W139" s="120">
        <v>21600</v>
      </c>
      <c r="X139" s="120"/>
      <c r="Y139" s="120">
        <f t="shared" si="17"/>
        <v>20979</v>
      </c>
      <c r="Z139" s="121"/>
    </row>
    <row r="140" spans="1:26" ht="25" customHeight="1" outlineLevel="1" x14ac:dyDescent="0.35">
      <c r="B140" s="161"/>
      <c r="C140" s="161"/>
      <c r="D140" s="161"/>
      <c r="E140" s="6" t="s">
        <v>106</v>
      </c>
      <c r="F140" s="32" t="s">
        <v>21</v>
      </c>
      <c r="G140" s="37"/>
      <c r="H140" s="61" t="str">
        <f t="shared" si="22"/>
        <v/>
      </c>
      <c r="I140" s="61" t="str">
        <f t="shared" si="23"/>
        <v/>
      </c>
      <c r="J140" s="62" t="str">
        <f t="shared" si="24"/>
        <v/>
      </c>
      <c r="K140" s="6"/>
      <c r="L140" s="45"/>
      <c r="U140" s="119" t="str" cm="1">
        <f t="array" ref="U140">IF(C140="",INDEX(C134:C140,MATCH(TRUE,INDEX((C134:C140&lt;&gt;""),0),0)),C140)</f>
        <v>Britoil Dragon</v>
      </c>
      <c r="V140" s="120">
        <f t="shared" si="16"/>
        <v>0.98087712736113708</v>
      </c>
      <c r="W140" s="120">
        <v>21600</v>
      </c>
      <c r="X140" s="120"/>
      <c r="Y140" s="120">
        <f t="shared" si="17"/>
        <v>20979</v>
      </c>
      <c r="Z140" s="121"/>
    </row>
    <row r="141" spans="1:26" ht="25" customHeight="1" outlineLevel="1" x14ac:dyDescent="0.35">
      <c r="B141" s="161"/>
      <c r="C141" s="161"/>
      <c r="D141" s="161"/>
      <c r="E141" s="6" t="s">
        <v>109</v>
      </c>
      <c r="F141" s="32" t="s">
        <v>21</v>
      </c>
      <c r="G141" s="37"/>
      <c r="H141" s="61" t="str">
        <f t="shared" si="22"/>
        <v/>
      </c>
      <c r="I141" s="61" t="str">
        <f t="shared" si="23"/>
        <v/>
      </c>
      <c r="J141" s="62" t="str">
        <f t="shared" si="24"/>
        <v/>
      </c>
      <c r="K141" s="6"/>
      <c r="L141" s="45"/>
      <c r="U141" s="119" t="str" cm="1">
        <f t="array" ref="U141">IF(C141="",INDEX(C135:C141,MATCH(TRUE,INDEX((C135:C141&lt;&gt;""),0),0)),C141)</f>
        <v>Britoil Dragon</v>
      </c>
      <c r="V141" s="120">
        <f t="shared" si="16"/>
        <v>0.98087712736113708</v>
      </c>
      <c r="W141" s="120">
        <v>21600</v>
      </c>
      <c r="X141" s="120"/>
      <c r="Y141" s="120">
        <f t="shared" si="17"/>
        <v>20979</v>
      </c>
      <c r="Z141" s="121"/>
    </row>
    <row r="142" spans="1:26" ht="25" customHeight="1" outlineLevel="1" x14ac:dyDescent="0.35">
      <c r="B142" s="161"/>
      <c r="C142" s="161"/>
      <c r="D142" s="161"/>
      <c r="E142" s="6" t="s">
        <v>280</v>
      </c>
      <c r="F142" s="32" t="s">
        <v>17</v>
      </c>
      <c r="G142" s="37">
        <v>45778</v>
      </c>
      <c r="H142" s="61">
        <f t="shared" si="22"/>
        <v>0</v>
      </c>
      <c r="I142" s="61">
        <f t="shared" si="23"/>
        <v>3923.5085094445485</v>
      </c>
      <c r="J142" s="62">
        <f t="shared" si="24"/>
        <v>29.426313820834114</v>
      </c>
      <c r="K142" s="6"/>
      <c r="L142" s="45"/>
      <c r="M142" s="8" t="s">
        <v>133</v>
      </c>
      <c r="U142" s="119" t="str" cm="1">
        <f t="array" ref="U142">IF(C142="",INDEX(C136:C142,MATCH(TRUE,INDEX((C136:C142&lt;&gt;""),0),0)),C142)</f>
        <v>Britoil Dragon</v>
      </c>
      <c r="V142" s="120">
        <f t="shared" si="16"/>
        <v>0.98087712736113708</v>
      </c>
      <c r="W142" s="120">
        <v>21600</v>
      </c>
      <c r="X142" s="120"/>
      <c r="Y142" s="120">
        <f t="shared" ref="Y142:Y207" si="25">INT(VLOOKUP(U142, $AB$30:$AH$101, 7, FALSE))</f>
        <v>20979</v>
      </c>
      <c r="Z142" s="121"/>
    </row>
    <row r="143" spans="1:26" ht="25" customHeight="1" outlineLevel="1" x14ac:dyDescent="0.35">
      <c r="B143" s="161"/>
      <c r="C143" s="161"/>
      <c r="D143" s="161"/>
      <c r="E143" s="6" t="s">
        <v>110</v>
      </c>
      <c r="F143" s="32" t="s">
        <v>17</v>
      </c>
      <c r="G143" s="37"/>
      <c r="H143" s="61">
        <f t="shared" si="22"/>
        <v>0</v>
      </c>
      <c r="I143" s="61">
        <f t="shared" si="23"/>
        <v>490.43856368056856</v>
      </c>
      <c r="J143" s="62">
        <f t="shared" si="24"/>
        <v>0</v>
      </c>
      <c r="K143" s="6"/>
      <c r="L143" s="45"/>
      <c r="U143" s="119" t="str" cm="1">
        <f t="array" ref="U143">IF(C143="",INDEX(C136:C143,MATCH(TRUE,INDEX((C136:C143&lt;&gt;""),0),0)),C143)</f>
        <v>Britoil Dragon</v>
      </c>
      <c r="V143" s="120">
        <f t="shared" ref="V143:V208" si="26">MIN(Y143/21388,1.3)</f>
        <v>0.98087712736113708</v>
      </c>
      <c r="W143" s="120">
        <v>21600</v>
      </c>
      <c r="X143" s="120"/>
      <c r="Y143" s="120">
        <f t="shared" si="25"/>
        <v>20979</v>
      </c>
      <c r="Z143" s="121"/>
    </row>
    <row r="144" spans="1:26" ht="25" customHeight="1" outlineLevel="1" x14ac:dyDescent="0.35">
      <c r="B144" s="161"/>
      <c r="C144" s="161"/>
      <c r="D144" s="161"/>
      <c r="E144" s="6" t="s">
        <v>290</v>
      </c>
      <c r="F144" s="32" t="s">
        <v>17</v>
      </c>
      <c r="G144" s="37"/>
      <c r="H144" s="61">
        <f t="shared" si="22"/>
        <v>2452.1928184028425</v>
      </c>
      <c r="I144" s="61">
        <f t="shared" si="23"/>
        <v>4904.385636805685</v>
      </c>
      <c r="J144" s="62">
        <f t="shared" si="24"/>
        <v>13.732279783055919</v>
      </c>
      <c r="K144" s="6"/>
      <c r="L144" s="45"/>
      <c r="U144" s="119" t="str" cm="1">
        <f t="array" ref="U144">IF(C144="",INDEX(C137:C144,MATCH(TRUE,INDEX((C137:C144&lt;&gt;""),0),0)),C144)</f>
        <v>Britoil Dragon</v>
      </c>
      <c r="V144" s="120">
        <f t="shared" si="26"/>
        <v>0.98087712736113708</v>
      </c>
      <c r="W144" s="120">
        <v>21600</v>
      </c>
      <c r="X144" s="120"/>
      <c r="Y144" s="120">
        <f t="shared" si="25"/>
        <v>20979</v>
      </c>
      <c r="Z144" s="121"/>
    </row>
    <row r="145" spans="1:26" ht="25" customHeight="1" outlineLevel="1" x14ac:dyDescent="0.35">
      <c r="B145" s="161"/>
      <c r="C145" s="161"/>
      <c r="D145" s="161"/>
      <c r="E145" s="6" t="s">
        <v>185</v>
      </c>
      <c r="F145" s="32" t="s">
        <v>105</v>
      </c>
      <c r="G145" s="37">
        <v>45787</v>
      </c>
      <c r="H145" s="61" t="str">
        <f t="shared" si="22"/>
        <v/>
      </c>
      <c r="I145" s="61" t="str">
        <f t="shared" si="23"/>
        <v/>
      </c>
      <c r="J145" s="62" t="str">
        <f t="shared" si="24"/>
        <v/>
      </c>
      <c r="K145" s="6"/>
      <c r="L145" s="45"/>
      <c r="M145" s="8" t="s">
        <v>133</v>
      </c>
      <c r="U145" s="119" t="str" cm="1">
        <f t="array" ref="U145">IF(C145="",INDEX(C137:C145,MATCH(TRUE,INDEX((C137:C145&lt;&gt;""),0),0)),C145)</f>
        <v>Britoil Dragon</v>
      </c>
      <c r="V145" s="120">
        <f t="shared" si="26"/>
        <v>0.98087712736113708</v>
      </c>
      <c r="W145" s="120">
        <v>21600</v>
      </c>
      <c r="X145" s="120"/>
      <c r="Y145" s="120">
        <f t="shared" si="25"/>
        <v>20979</v>
      </c>
      <c r="Z145" s="121"/>
    </row>
    <row r="146" spans="1:26" ht="25" customHeight="1" outlineLevel="1" x14ac:dyDescent="0.35">
      <c r="B146" s="162"/>
      <c r="C146" s="162"/>
      <c r="D146" s="162"/>
      <c r="E146" s="7" t="s">
        <v>14</v>
      </c>
      <c r="F146" s="32" t="s">
        <v>17</v>
      </c>
      <c r="G146" s="37"/>
      <c r="H146" s="61">
        <f t="shared" si="22"/>
        <v>1471.3156910417056</v>
      </c>
      <c r="I146" s="61">
        <f t="shared" si="23"/>
        <v>6081.4381896390496</v>
      </c>
      <c r="J146" s="62">
        <f t="shared" si="24"/>
        <v>7.8470170188890966</v>
      </c>
      <c r="K146" s="6"/>
      <c r="L146" s="46"/>
      <c r="U146" s="119" t="str" cm="1">
        <f t="array" ref="U146">IF(C146="",INDEX(C137:C146,MATCH(TRUE,INDEX((C137:C146&lt;&gt;""),0),0)),C146)</f>
        <v>Britoil Dragon</v>
      </c>
      <c r="V146" s="120">
        <f t="shared" si="26"/>
        <v>0.98087712736113708</v>
      </c>
      <c r="W146" s="120">
        <v>21600</v>
      </c>
      <c r="X146" s="120"/>
      <c r="Y146" s="120">
        <f t="shared" si="25"/>
        <v>20979</v>
      </c>
      <c r="Z146" s="121"/>
    </row>
    <row r="147" spans="1:26" ht="30" customHeight="1" x14ac:dyDescent="0.35">
      <c r="A147" s="8" t="s">
        <v>133</v>
      </c>
      <c r="B147" s="163">
        <v>25</v>
      </c>
      <c r="C147" s="163" t="s">
        <v>44</v>
      </c>
      <c r="D147" s="163" t="s">
        <v>45</v>
      </c>
      <c r="E147" s="26" t="s">
        <v>102</v>
      </c>
      <c r="F147" s="31"/>
      <c r="G147" s="34"/>
      <c r="H147" s="55" t="str">
        <f t="shared" si="22"/>
        <v/>
      </c>
      <c r="I147" s="55" t="str">
        <f t="shared" si="23"/>
        <v/>
      </c>
      <c r="J147" s="56" t="str">
        <f t="shared" si="24"/>
        <v/>
      </c>
      <c r="K147" s="2"/>
      <c r="L147" s="41"/>
      <c r="U147" s="119" t="str" cm="1">
        <f t="array" ref="U147">IF(C147="",INDEX(C138:C147,MATCH(TRUE,INDEX((C138:C147&lt;&gt;""),0),0)),C147)</f>
        <v>Britoil Guardian</v>
      </c>
      <c r="V147" s="120">
        <f t="shared" si="26"/>
        <v>0.14283710491864596</v>
      </c>
      <c r="W147" s="120">
        <v>20000</v>
      </c>
      <c r="X147" s="120"/>
      <c r="Y147" s="120">
        <f t="shared" si="25"/>
        <v>3055</v>
      </c>
      <c r="Z147" s="121"/>
    </row>
    <row r="148" spans="1:26" ht="25" customHeight="1" outlineLevel="1" x14ac:dyDescent="0.35">
      <c r="B148" s="164"/>
      <c r="C148" s="164"/>
      <c r="D148" s="164"/>
      <c r="E148" s="3" t="s">
        <v>13</v>
      </c>
      <c r="F148" s="31" t="s">
        <v>32</v>
      </c>
      <c r="G148" s="35"/>
      <c r="H148" s="57" t="str">
        <f t="shared" si="22"/>
        <v/>
      </c>
      <c r="I148" s="57" t="str">
        <f t="shared" si="23"/>
        <v/>
      </c>
      <c r="J148" s="58" t="str">
        <f t="shared" si="24"/>
        <v/>
      </c>
      <c r="K148" s="3"/>
      <c r="L148" s="42"/>
      <c r="U148" s="119" t="str" cm="1">
        <f t="array" ref="U148">IF(C148="",INDEX(C139:C148,MATCH(TRUE,INDEX((C139:C148&lt;&gt;""),0),0)),C148)</f>
        <v>Britoil Guardian</v>
      </c>
      <c r="V148" s="120">
        <f t="shared" si="26"/>
        <v>0.14283710491864596</v>
      </c>
      <c r="W148" s="120">
        <v>20000</v>
      </c>
      <c r="X148" s="120"/>
      <c r="Y148" s="120">
        <f t="shared" si="25"/>
        <v>3055</v>
      </c>
      <c r="Z148" s="121"/>
    </row>
    <row r="149" spans="1:26" ht="25" customHeight="1" outlineLevel="1" x14ac:dyDescent="0.35">
      <c r="B149" s="164"/>
      <c r="C149" s="164"/>
      <c r="D149" s="164"/>
      <c r="E149" s="3" t="s">
        <v>110</v>
      </c>
      <c r="F149" s="31" t="s">
        <v>32</v>
      </c>
      <c r="G149" s="35"/>
      <c r="H149" s="57" t="str">
        <f t="shared" si="22"/>
        <v/>
      </c>
      <c r="I149" s="57" t="str">
        <f t="shared" si="23"/>
        <v/>
      </c>
      <c r="J149" s="58" t="str">
        <f t="shared" si="24"/>
        <v/>
      </c>
      <c r="K149" s="3"/>
      <c r="L149" s="42"/>
      <c r="U149" s="119" t="str" cm="1">
        <f t="array" ref="U149">IF(C149="",INDEX(C140:C149,MATCH(TRUE,INDEX((C140:C149&lt;&gt;""),0),0)),C149)</f>
        <v>Britoil Guardian</v>
      </c>
      <c r="V149" s="120">
        <f t="shared" si="26"/>
        <v>0.14283710491864596</v>
      </c>
      <c r="W149" s="120">
        <v>20000</v>
      </c>
      <c r="X149" s="120"/>
      <c r="Y149" s="120">
        <f t="shared" si="25"/>
        <v>3055</v>
      </c>
      <c r="Z149" s="121"/>
    </row>
    <row r="150" spans="1:26" ht="25" customHeight="1" outlineLevel="1" x14ac:dyDescent="0.35">
      <c r="B150" s="164"/>
      <c r="C150" s="164"/>
      <c r="D150" s="164"/>
      <c r="E150" s="3" t="s">
        <v>109</v>
      </c>
      <c r="F150" s="31" t="s">
        <v>32</v>
      </c>
      <c r="G150" s="35"/>
      <c r="H150" s="57" t="str">
        <f t="shared" si="22"/>
        <v/>
      </c>
      <c r="I150" s="57" t="str">
        <f t="shared" si="23"/>
        <v/>
      </c>
      <c r="J150" s="58" t="str">
        <f t="shared" si="24"/>
        <v/>
      </c>
      <c r="K150" s="3" t="s">
        <v>198</v>
      </c>
      <c r="L150" s="42" t="s">
        <v>198</v>
      </c>
      <c r="U150" s="119" t="str" cm="1">
        <f t="array" ref="U150">IF(C150="",INDEX(C141:C150,MATCH(TRUE,INDEX((C141:C150&lt;&gt;""),0),0)),C150)</f>
        <v>Britoil Guardian</v>
      </c>
      <c r="V150" s="120">
        <f t="shared" si="26"/>
        <v>0.14283710491864596</v>
      </c>
      <c r="W150" s="120">
        <v>20000</v>
      </c>
      <c r="X150" s="120"/>
      <c r="Y150" s="120">
        <f t="shared" si="25"/>
        <v>3055</v>
      </c>
      <c r="Z150" s="121"/>
    </row>
    <row r="151" spans="1:26" ht="25" customHeight="1" outlineLevel="1" x14ac:dyDescent="0.35">
      <c r="B151" s="164"/>
      <c r="C151" s="164"/>
      <c r="D151" s="164"/>
      <c r="E151" s="3" t="s">
        <v>106</v>
      </c>
      <c r="F151" s="31" t="s">
        <v>32</v>
      </c>
      <c r="G151" s="35"/>
      <c r="H151" s="57" t="str">
        <f t="shared" si="22"/>
        <v/>
      </c>
      <c r="I151" s="57" t="str">
        <f t="shared" si="23"/>
        <v/>
      </c>
      <c r="J151" s="58" t="str">
        <f t="shared" si="24"/>
        <v/>
      </c>
      <c r="K151" s="3"/>
      <c r="L151" s="42"/>
      <c r="U151" s="119" t="str" cm="1">
        <f t="array" ref="U151">IF(C151="",INDEX(C143:C151,MATCH(TRUE,INDEX((C143:C151&lt;&gt;""),0),0)),C151)</f>
        <v>Britoil Guardian</v>
      </c>
      <c r="V151" s="120">
        <f t="shared" si="26"/>
        <v>0.14283710491864596</v>
      </c>
      <c r="W151" s="120">
        <v>20000</v>
      </c>
      <c r="X151" s="120"/>
      <c r="Y151" s="120">
        <f t="shared" si="25"/>
        <v>3055</v>
      </c>
      <c r="Z151" s="121"/>
    </row>
    <row r="152" spans="1:26" ht="25" customHeight="1" outlineLevel="1" x14ac:dyDescent="0.35">
      <c r="B152" s="165"/>
      <c r="C152" s="165"/>
      <c r="D152" s="165"/>
      <c r="E152" s="4" t="s">
        <v>14</v>
      </c>
      <c r="F152" s="31" t="s">
        <v>32</v>
      </c>
      <c r="G152" s="39"/>
      <c r="H152" s="65" t="str">
        <f t="shared" si="22"/>
        <v/>
      </c>
      <c r="I152" s="65" t="str">
        <f t="shared" si="23"/>
        <v/>
      </c>
      <c r="J152" s="66" t="str">
        <f t="shared" si="24"/>
        <v/>
      </c>
      <c r="K152" s="4"/>
      <c r="L152" s="43"/>
      <c r="U152" s="119" t="str" cm="1">
        <f t="array" ref="U152">IF(C152="",INDEX(C146:C152,MATCH(TRUE,INDEX((C146:C152&lt;&gt;""),0),0)),C152)</f>
        <v>Britoil Guardian</v>
      </c>
      <c r="V152" s="120">
        <f t="shared" si="26"/>
        <v>0.14283710491864596</v>
      </c>
      <c r="W152" s="120">
        <v>20000</v>
      </c>
      <c r="X152" s="120"/>
      <c r="Y152" s="120">
        <f t="shared" si="25"/>
        <v>3055</v>
      </c>
      <c r="Z152" s="121"/>
    </row>
    <row r="153" spans="1:26" ht="30" customHeight="1" x14ac:dyDescent="0.35">
      <c r="A153" s="8" t="s">
        <v>133</v>
      </c>
      <c r="B153" s="160">
        <v>26</v>
      </c>
      <c r="C153" s="160" t="s">
        <v>46</v>
      </c>
      <c r="D153" s="193" t="s">
        <v>99</v>
      </c>
      <c r="E153" s="27" t="s">
        <v>102</v>
      </c>
      <c r="F153" s="32"/>
      <c r="G153" s="37"/>
      <c r="H153" s="61" t="str">
        <f t="shared" si="22"/>
        <v/>
      </c>
      <c r="I153" s="61" t="str">
        <f t="shared" si="23"/>
        <v/>
      </c>
      <c r="J153" s="62" t="str">
        <f t="shared" si="24"/>
        <v/>
      </c>
      <c r="K153" s="6"/>
      <c r="L153" s="44"/>
      <c r="U153" s="119" t="str" cm="1">
        <f t="array" ref="U153">IF(C153="",INDEX(C147:C153,MATCH(TRUE,INDEX((C147:C153&lt;&gt;""),0),0)),C153)</f>
        <v>BOS Ares</v>
      </c>
      <c r="V153" s="120">
        <f t="shared" si="26"/>
        <v>0.73573966710304839</v>
      </c>
      <c r="W153" s="120">
        <v>18000</v>
      </c>
      <c r="X153" s="120"/>
      <c r="Y153" s="120">
        <f t="shared" si="25"/>
        <v>15736</v>
      </c>
      <c r="Z153" s="121"/>
    </row>
    <row r="154" spans="1:26" ht="25" customHeight="1" outlineLevel="1" x14ac:dyDescent="0.35">
      <c r="B154" s="161"/>
      <c r="C154" s="161"/>
      <c r="D154" s="194"/>
      <c r="E154" s="6" t="s">
        <v>13</v>
      </c>
      <c r="F154" s="32" t="s">
        <v>17</v>
      </c>
      <c r="G154" s="37"/>
      <c r="H154" s="61">
        <f t="shared" si="22"/>
        <v>8093.1363381335323</v>
      </c>
      <c r="I154" s="61">
        <f t="shared" si="23"/>
        <v>2354.366934729755</v>
      </c>
      <c r="J154" s="62">
        <f t="shared" si="24"/>
        <v>47.087338694595097</v>
      </c>
      <c r="K154" s="6"/>
      <c r="L154" s="45"/>
      <c r="U154" s="119" t="str" cm="1">
        <f t="array" ref="U154">IF(C154="",INDEX(C148:C154,MATCH(TRUE,INDEX((C148:C154&lt;&gt;""),0),0)),C154)</f>
        <v>BOS Ares</v>
      </c>
      <c r="V154" s="120">
        <f t="shared" si="26"/>
        <v>0.73573966710304839</v>
      </c>
      <c r="W154" s="120">
        <v>18000</v>
      </c>
      <c r="X154" s="120"/>
      <c r="Y154" s="120">
        <f t="shared" si="25"/>
        <v>15736</v>
      </c>
      <c r="Z154" s="121"/>
    </row>
    <row r="155" spans="1:26" ht="25" customHeight="1" outlineLevel="1" x14ac:dyDescent="0.35">
      <c r="B155" s="161"/>
      <c r="C155" s="161"/>
      <c r="D155" s="161"/>
      <c r="E155" s="6" t="s">
        <v>110</v>
      </c>
      <c r="F155" s="32" t="s">
        <v>32</v>
      </c>
      <c r="G155" s="37"/>
      <c r="H155" s="61" t="str">
        <f t="shared" si="22"/>
        <v/>
      </c>
      <c r="I155" s="61" t="str">
        <f t="shared" si="23"/>
        <v/>
      </c>
      <c r="J155" s="62" t="str">
        <f t="shared" si="24"/>
        <v/>
      </c>
      <c r="K155" s="6"/>
      <c r="L155" s="45"/>
      <c r="U155" s="119" t="str" cm="1">
        <f t="array" ref="U155">IF(C155="",INDEX(C149:C155,MATCH(TRUE,INDEX((C149:C155&lt;&gt;""),0),0)),C155)</f>
        <v>BOS Ares</v>
      </c>
      <c r="V155" s="120">
        <f t="shared" si="26"/>
        <v>0.73573966710304839</v>
      </c>
      <c r="W155" s="120">
        <v>18000</v>
      </c>
      <c r="X155" s="120"/>
      <c r="Y155" s="120">
        <f t="shared" si="25"/>
        <v>15736</v>
      </c>
      <c r="Z155" s="121"/>
    </row>
    <row r="156" spans="1:26" ht="25" customHeight="1" outlineLevel="1" x14ac:dyDescent="0.35">
      <c r="B156" s="161"/>
      <c r="C156" s="161"/>
      <c r="D156" s="161"/>
      <c r="E156" s="6" t="s">
        <v>109</v>
      </c>
      <c r="F156" s="32" t="s">
        <v>17</v>
      </c>
      <c r="G156" s="37"/>
      <c r="H156" s="61">
        <f t="shared" si="22"/>
        <v>11771.834673648775</v>
      </c>
      <c r="I156" s="61">
        <f t="shared" si="23"/>
        <v>735.73966710304842</v>
      </c>
      <c r="J156" s="62">
        <f t="shared" si="24"/>
        <v>68.4237890405835</v>
      </c>
      <c r="K156" s="6"/>
      <c r="L156" s="45" t="s">
        <v>274</v>
      </c>
      <c r="M156" s="8" t="s">
        <v>133</v>
      </c>
      <c r="U156" s="119" t="str" cm="1">
        <f t="array" ref="U156">IF(C156="",INDEX(C150:C156,MATCH(TRUE,INDEX((C150:C156&lt;&gt;""),0),0)),C156)</f>
        <v>BOS Ares</v>
      </c>
      <c r="V156" s="120">
        <f t="shared" si="26"/>
        <v>0.73573966710304839</v>
      </c>
      <c r="W156" s="120">
        <v>18000</v>
      </c>
      <c r="X156" s="120"/>
      <c r="Y156" s="120">
        <f t="shared" si="25"/>
        <v>15736</v>
      </c>
      <c r="Z156" s="121"/>
    </row>
    <row r="157" spans="1:26" ht="25" customHeight="1" outlineLevel="1" x14ac:dyDescent="0.35">
      <c r="B157" s="161"/>
      <c r="C157" s="161"/>
      <c r="D157" s="161"/>
      <c r="E157" s="6" t="s">
        <v>106</v>
      </c>
      <c r="F157" s="32" t="s">
        <v>17</v>
      </c>
      <c r="G157" s="37" t="s">
        <v>184</v>
      </c>
      <c r="H157" s="61">
        <f t="shared" si="22"/>
        <v>6106.6392369553014</v>
      </c>
      <c r="I157" s="61">
        <f t="shared" si="23"/>
        <v>2942.9586684121937</v>
      </c>
      <c r="J157" s="62">
        <f t="shared" si="24"/>
        <v>62.537871703759116</v>
      </c>
      <c r="K157" s="6"/>
      <c r="L157" s="45"/>
      <c r="U157" s="119" t="str" cm="1">
        <f t="array" ref="U157">IF(C157="",INDEX(C151:C157,MATCH(TRUE,INDEX((C151:C157&lt;&gt;""),0),0)),C157)</f>
        <v>BOS Ares</v>
      </c>
      <c r="V157" s="120">
        <f t="shared" si="26"/>
        <v>0.73573966710304839</v>
      </c>
      <c r="W157" s="120">
        <v>18000</v>
      </c>
      <c r="X157" s="120"/>
      <c r="Y157" s="120">
        <f t="shared" si="25"/>
        <v>15736</v>
      </c>
      <c r="Z157" s="121"/>
    </row>
    <row r="158" spans="1:26" ht="25" customHeight="1" outlineLevel="1" x14ac:dyDescent="0.35">
      <c r="B158" s="162"/>
      <c r="C158" s="162"/>
      <c r="D158" s="162"/>
      <c r="E158" s="7" t="s">
        <v>14</v>
      </c>
      <c r="F158" s="32" t="s">
        <v>32</v>
      </c>
      <c r="G158" s="37"/>
      <c r="H158" s="61" t="str">
        <f t="shared" si="22"/>
        <v/>
      </c>
      <c r="I158" s="61" t="str">
        <f t="shared" si="23"/>
        <v/>
      </c>
      <c r="J158" s="62" t="str">
        <f t="shared" si="24"/>
        <v/>
      </c>
      <c r="K158" s="6"/>
      <c r="L158" s="46"/>
      <c r="U158" s="119" t="str" cm="1">
        <f t="array" ref="U158">IF(C158="",INDEX(C152:C158,MATCH(TRUE,INDEX((C152:C158&lt;&gt;""),0),0)),C158)</f>
        <v>BOS Ares</v>
      </c>
      <c r="V158" s="120">
        <f t="shared" si="26"/>
        <v>0.73573966710304839</v>
      </c>
      <c r="W158" s="120">
        <v>18000</v>
      </c>
      <c r="X158" s="120"/>
      <c r="Y158" s="120">
        <f t="shared" si="25"/>
        <v>15736</v>
      </c>
      <c r="Z158" s="121"/>
    </row>
    <row r="159" spans="1:26" ht="30" customHeight="1" x14ac:dyDescent="0.35">
      <c r="A159" s="8" t="s">
        <v>133</v>
      </c>
      <c r="B159" s="163">
        <v>27</v>
      </c>
      <c r="C159" s="163" t="s">
        <v>47</v>
      </c>
      <c r="D159" s="195" t="s">
        <v>99</v>
      </c>
      <c r="E159" s="26" t="s">
        <v>102</v>
      </c>
      <c r="F159" s="31"/>
      <c r="G159" s="34"/>
      <c r="H159" s="55" t="str">
        <f t="shared" si="22"/>
        <v/>
      </c>
      <c r="I159" s="55" t="str">
        <f t="shared" si="23"/>
        <v/>
      </c>
      <c r="J159" s="56" t="str">
        <f t="shared" si="24"/>
        <v/>
      </c>
      <c r="K159" s="2"/>
      <c r="L159" s="41"/>
      <c r="U159" s="119" t="str" cm="1">
        <f t="array" ref="U159">IF(C159="",INDEX(C153:C159,MATCH(TRUE,INDEX((C153:C159&lt;&gt;""),0),0)),C159)</f>
        <v>BOS Athena</v>
      </c>
      <c r="V159" s="120">
        <f t="shared" si="26"/>
        <v>0.73573966710304839</v>
      </c>
      <c r="W159" s="120">
        <v>18000</v>
      </c>
      <c r="X159" s="120"/>
      <c r="Y159" s="120">
        <f t="shared" si="25"/>
        <v>15736</v>
      </c>
      <c r="Z159" s="121"/>
    </row>
    <row r="160" spans="1:26" ht="25" customHeight="1" outlineLevel="1" x14ac:dyDescent="0.35">
      <c r="B160" s="164"/>
      <c r="C160" s="164"/>
      <c r="D160" s="196"/>
      <c r="E160" s="3" t="s">
        <v>13</v>
      </c>
      <c r="F160" s="31" t="s">
        <v>21</v>
      </c>
      <c r="G160" s="35"/>
      <c r="H160" s="57" t="str">
        <f t="shared" si="22"/>
        <v/>
      </c>
      <c r="I160" s="57" t="str">
        <f t="shared" si="23"/>
        <v/>
      </c>
      <c r="J160" s="58" t="str">
        <f t="shared" si="24"/>
        <v/>
      </c>
      <c r="K160" s="3"/>
      <c r="L160" s="42"/>
      <c r="U160" s="119" t="str" cm="1">
        <f t="array" ref="U160">IF(C160="",INDEX(C154:C160,MATCH(TRUE,INDEX((C154:C160&lt;&gt;""),0),0)),C160)</f>
        <v>BOS Athena</v>
      </c>
      <c r="V160" s="120">
        <f t="shared" si="26"/>
        <v>0.73573966710304839</v>
      </c>
      <c r="W160" s="120">
        <v>18000</v>
      </c>
      <c r="X160" s="120"/>
      <c r="Y160" s="120">
        <f t="shared" si="25"/>
        <v>15736</v>
      </c>
      <c r="Z160" s="121"/>
    </row>
    <row r="161" spans="1:26" ht="25" customHeight="1" outlineLevel="1" x14ac:dyDescent="0.35">
      <c r="B161" s="164"/>
      <c r="C161" s="164"/>
      <c r="D161" s="196"/>
      <c r="E161" s="3" t="s">
        <v>110</v>
      </c>
      <c r="F161" s="31" t="s">
        <v>32</v>
      </c>
      <c r="G161" s="35"/>
      <c r="H161" s="57" t="str">
        <f t="shared" si="22"/>
        <v/>
      </c>
      <c r="I161" s="57" t="str">
        <f t="shared" si="23"/>
        <v/>
      </c>
      <c r="J161" s="58" t="str">
        <f t="shared" si="24"/>
        <v/>
      </c>
      <c r="K161" s="3"/>
      <c r="L161" s="42"/>
      <c r="U161" s="119" t="str" cm="1">
        <f t="array" ref="U161">IF(C161="",INDEX(C155:C161,MATCH(TRUE,INDEX((C155:C161&lt;&gt;""),0),0)),C161)</f>
        <v>BOS Athena</v>
      </c>
      <c r="V161" s="120">
        <f t="shared" si="26"/>
        <v>0.73573966710304839</v>
      </c>
      <c r="W161" s="120">
        <v>18000</v>
      </c>
      <c r="X161" s="120"/>
      <c r="Y161" s="120">
        <f t="shared" si="25"/>
        <v>15736</v>
      </c>
      <c r="Z161" s="121"/>
    </row>
    <row r="162" spans="1:26" ht="25" customHeight="1" outlineLevel="1" x14ac:dyDescent="0.35">
      <c r="B162" s="164"/>
      <c r="C162" s="164"/>
      <c r="D162" s="196"/>
      <c r="E162" s="3" t="s">
        <v>109</v>
      </c>
      <c r="F162" s="31" t="s">
        <v>17</v>
      </c>
      <c r="G162" s="35" t="s">
        <v>183</v>
      </c>
      <c r="H162" s="57">
        <f t="shared" si="22"/>
        <v>11771.834673648775</v>
      </c>
      <c r="I162" s="57">
        <f t="shared" si="23"/>
        <v>735.73966710304842</v>
      </c>
      <c r="J162" s="58">
        <f t="shared" si="24"/>
        <v>68.4237890405835</v>
      </c>
      <c r="K162" s="3"/>
      <c r="L162" s="42" t="s">
        <v>274</v>
      </c>
      <c r="M162" s="8" t="s">
        <v>133</v>
      </c>
      <c r="U162" s="119" t="str" cm="1">
        <f t="array" ref="U162">IF(C162="",INDEX(C156:C162,MATCH(TRUE,INDEX((C156:C162&lt;&gt;""),0),0)),C162)</f>
        <v>BOS Athena</v>
      </c>
      <c r="V162" s="120">
        <f t="shared" si="26"/>
        <v>0.73573966710304839</v>
      </c>
      <c r="W162" s="120">
        <v>18000</v>
      </c>
      <c r="X162" s="120"/>
      <c r="Y162" s="120">
        <f t="shared" si="25"/>
        <v>15736</v>
      </c>
      <c r="Z162" s="121"/>
    </row>
    <row r="163" spans="1:26" ht="25" customHeight="1" outlineLevel="1" x14ac:dyDescent="0.35">
      <c r="B163" s="164"/>
      <c r="C163" s="164"/>
      <c r="D163" s="164"/>
      <c r="E163" s="3" t="s">
        <v>106</v>
      </c>
      <c r="F163" s="31" t="s">
        <v>17</v>
      </c>
      <c r="G163" s="35" t="s">
        <v>184</v>
      </c>
      <c r="H163" s="57">
        <f t="shared" si="22"/>
        <v>6106.6392369553014</v>
      </c>
      <c r="I163" s="57">
        <f t="shared" si="23"/>
        <v>2942.9586684121937</v>
      </c>
      <c r="J163" s="58">
        <f t="shared" si="24"/>
        <v>62.537871703759116</v>
      </c>
      <c r="K163" s="3"/>
      <c r="L163" s="42"/>
      <c r="U163" s="119" t="str" cm="1">
        <f t="array" ref="U163">IF(C163="",INDEX(C157:C163,MATCH(TRUE,INDEX((C157:C163&lt;&gt;""),0),0)),C163)</f>
        <v>BOS Athena</v>
      </c>
      <c r="V163" s="120">
        <f t="shared" si="26"/>
        <v>0.73573966710304839</v>
      </c>
      <c r="W163" s="120">
        <v>18000</v>
      </c>
      <c r="X163" s="120"/>
      <c r="Y163" s="120">
        <f t="shared" si="25"/>
        <v>15736</v>
      </c>
      <c r="Z163" s="121"/>
    </row>
    <row r="164" spans="1:26" ht="25" customHeight="1" outlineLevel="1" x14ac:dyDescent="0.35">
      <c r="B164" s="165"/>
      <c r="C164" s="165"/>
      <c r="D164" s="165"/>
      <c r="E164" s="4" t="s">
        <v>14</v>
      </c>
      <c r="F164" s="31" t="s">
        <v>32</v>
      </c>
      <c r="G164" s="39"/>
      <c r="H164" s="65" t="str">
        <f t="shared" si="22"/>
        <v/>
      </c>
      <c r="I164" s="65" t="str">
        <f t="shared" si="23"/>
        <v/>
      </c>
      <c r="J164" s="66" t="str">
        <f t="shared" si="24"/>
        <v/>
      </c>
      <c r="K164" s="4"/>
      <c r="L164" s="43"/>
      <c r="U164" s="119" t="str" cm="1">
        <f t="array" ref="U164">IF(C164="",INDEX(C158:C164,MATCH(TRUE,INDEX((C158:C164&lt;&gt;""),0),0)),C164)</f>
        <v>BOS Athena</v>
      </c>
      <c r="V164" s="120">
        <f t="shared" si="26"/>
        <v>0.73573966710304839</v>
      </c>
      <c r="W164" s="120">
        <v>18000</v>
      </c>
      <c r="X164" s="120"/>
      <c r="Y164" s="120">
        <f t="shared" si="25"/>
        <v>15736</v>
      </c>
      <c r="Z164" s="121"/>
    </row>
    <row r="165" spans="1:26" ht="30" customHeight="1" x14ac:dyDescent="0.35">
      <c r="A165" s="8" t="s">
        <v>133</v>
      </c>
      <c r="B165" s="160">
        <v>28</v>
      </c>
      <c r="C165" s="160" t="s">
        <v>48</v>
      </c>
      <c r="D165" s="193" t="s">
        <v>49</v>
      </c>
      <c r="E165" s="27" t="s">
        <v>102</v>
      </c>
      <c r="F165" s="32"/>
      <c r="G165" s="37"/>
      <c r="H165" s="61" t="str">
        <f t="shared" si="22"/>
        <v/>
      </c>
      <c r="I165" s="61" t="str">
        <f t="shared" si="23"/>
        <v/>
      </c>
      <c r="J165" s="62" t="str">
        <f t="shared" si="24"/>
        <v/>
      </c>
      <c r="K165" s="6"/>
      <c r="L165" s="44"/>
      <c r="U165" s="119" t="str" cm="1">
        <f t="array" ref="U165">IF(C165="",INDEX(C159:C165,MATCH(TRUE,INDEX((C159:C165&lt;&gt;""),0),0)),C165)</f>
        <v>BOS Atlanta</v>
      </c>
      <c r="V165" s="120">
        <f t="shared" si="26"/>
        <v>0.73573966710304839</v>
      </c>
      <c r="W165" s="120">
        <v>18000</v>
      </c>
      <c r="X165" s="120"/>
      <c r="Y165" s="120">
        <f t="shared" si="25"/>
        <v>15736</v>
      </c>
      <c r="Z165" s="121"/>
    </row>
    <row r="166" spans="1:26" ht="25" customHeight="1" outlineLevel="1" x14ac:dyDescent="0.35">
      <c r="B166" s="161"/>
      <c r="C166" s="161"/>
      <c r="D166" s="194"/>
      <c r="E166" s="6" t="s">
        <v>13</v>
      </c>
      <c r="F166" s="32" t="s">
        <v>21</v>
      </c>
      <c r="G166" s="37"/>
      <c r="H166" s="61" t="str">
        <f t="shared" si="22"/>
        <v/>
      </c>
      <c r="I166" s="61" t="str">
        <f t="shared" si="23"/>
        <v/>
      </c>
      <c r="J166" s="62" t="str">
        <f t="shared" si="24"/>
        <v/>
      </c>
      <c r="K166" s="6"/>
      <c r="L166" s="45"/>
      <c r="U166" s="119" t="str" cm="1">
        <f t="array" ref="U166">IF(C166="",INDEX(C160:C166,MATCH(TRUE,INDEX((C160:C166&lt;&gt;""),0),0)),C166)</f>
        <v>BOS Atlanta</v>
      </c>
      <c r="V166" s="120">
        <f t="shared" si="26"/>
        <v>0.73573966710304839</v>
      </c>
      <c r="W166" s="120">
        <v>18000</v>
      </c>
      <c r="X166" s="120"/>
      <c r="Y166" s="120">
        <f t="shared" si="25"/>
        <v>15736</v>
      </c>
      <c r="Z166" s="121"/>
    </row>
    <row r="167" spans="1:26" ht="25" customHeight="1" outlineLevel="1" x14ac:dyDescent="0.35">
      <c r="B167" s="161"/>
      <c r="C167" s="161"/>
      <c r="D167" s="194"/>
      <c r="E167" s="6" t="s">
        <v>110</v>
      </c>
      <c r="F167" s="32" t="s">
        <v>32</v>
      </c>
      <c r="G167" s="37"/>
      <c r="H167" s="61" t="str">
        <f t="shared" si="22"/>
        <v/>
      </c>
      <c r="I167" s="61" t="str">
        <f t="shared" si="23"/>
        <v/>
      </c>
      <c r="J167" s="62" t="str">
        <f t="shared" si="24"/>
        <v/>
      </c>
      <c r="K167" s="6"/>
      <c r="L167" s="45"/>
      <c r="U167" s="119" t="str" cm="1">
        <f t="array" ref="U167">IF(C167="",INDEX(C161:C167,MATCH(TRUE,INDEX((C161:C167&lt;&gt;""),0),0)),C167)</f>
        <v>BOS Atlanta</v>
      </c>
      <c r="V167" s="120">
        <f t="shared" si="26"/>
        <v>0.73573966710304839</v>
      </c>
      <c r="W167" s="120">
        <v>18000</v>
      </c>
      <c r="X167" s="120"/>
      <c r="Y167" s="120">
        <f t="shared" si="25"/>
        <v>15736</v>
      </c>
      <c r="Z167" s="121"/>
    </row>
    <row r="168" spans="1:26" ht="25" customHeight="1" outlineLevel="1" x14ac:dyDescent="0.35">
      <c r="B168" s="161"/>
      <c r="C168" s="161"/>
      <c r="D168" s="194"/>
      <c r="E168" s="6" t="s">
        <v>109</v>
      </c>
      <c r="F168" s="32" t="s">
        <v>17</v>
      </c>
      <c r="G168" s="37"/>
      <c r="H168" s="61">
        <f t="shared" si="22"/>
        <v>11771.834673648775</v>
      </c>
      <c r="I168" s="61">
        <f t="shared" si="23"/>
        <v>735.73966710304842</v>
      </c>
      <c r="J168" s="62">
        <f t="shared" si="24"/>
        <v>68.4237890405835</v>
      </c>
      <c r="K168" s="6"/>
      <c r="L168" s="45" t="s">
        <v>274</v>
      </c>
      <c r="M168" s="8" t="s">
        <v>133</v>
      </c>
      <c r="U168" s="119" t="str" cm="1">
        <f t="array" ref="U168">IF(C168="",INDEX(C162:C168,MATCH(TRUE,INDEX((C162:C168&lt;&gt;""),0),0)),C168)</f>
        <v>BOS Atlanta</v>
      </c>
      <c r="V168" s="120">
        <f t="shared" si="26"/>
        <v>0.73573966710304839</v>
      </c>
      <c r="W168" s="120">
        <v>18000</v>
      </c>
      <c r="X168" s="120"/>
      <c r="Y168" s="120">
        <f t="shared" si="25"/>
        <v>15736</v>
      </c>
      <c r="Z168" s="121"/>
    </row>
    <row r="169" spans="1:26" ht="25" customHeight="1" outlineLevel="1" x14ac:dyDescent="0.35">
      <c r="B169" s="161"/>
      <c r="C169" s="161"/>
      <c r="D169" s="161"/>
      <c r="E169" s="6" t="s">
        <v>106</v>
      </c>
      <c r="F169" s="32" t="s">
        <v>17</v>
      </c>
      <c r="G169" s="37" t="s">
        <v>184</v>
      </c>
      <c r="H169" s="61">
        <f t="shared" si="22"/>
        <v>6106.6392369553014</v>
      </c>
      <c r="I169" s="61">
        <f t="shared" si="23"/>
        <v>2942.9586684121937</v>
      </c>
      <c r="J169" s="62">
        <f t="shared" si="24"/>
        <v>62.537871703759116</v>
      </c>
      <c r="K169" s="6"/>
      <c r="L169" s="45"/>
      <c r="U169" s="119" t="str" cm="1">
        <f t="array" ref="U169">IF(C169="",INDEX(C163:C169,MATCH(TRUE,INDEX((C163:C169&lt;&gt;""),0),0)),C169)</f>
        <v>BOS Atlanta</v>
      </c>
      <c r="V169" s="120">
        <f t="shared" si="26"/>
        <v>0.73573966710304839</v>
      </c>
      <c r="W169" s="120">
        <v>18000</v>
      </c>
      <c r="X169" s="120"/>
      <c r="Y169" s="120">
        <f t="shared" si="25"/>
        <v>15736</v>
      </c>
      <c r="Z169" s="121"/>
    </row>
    <row r="170" spans="1:26" ht="25" customHeight="1" outlineLevel="1" x14ac:dyDescent="0.35">
      <c r="B170" s="162"/>
      <c r="C170" s="162"/>
      <c r="D170" s="162"/>
      <c r="E170" s="7" t="s">
        <v>14</v>
      </c>
      <c r="F170" s="32" t="s">
        <v>32</v>
      </c>
      <c r="G170" s="37"/>
      <c r="H170" s="61" t="str">
        <f t="shared" si="22"/>
        <v/>
      </c>
      <c r="I170" s="61" t="str">
        <f t="shared" si="23"/>
        <v/>
      </c>
      <c r="J170" s="62" t="str">
        <f t="shared" si="24"/>
        <v/>
      </c>
      <c r="K170" s="6"/>
      <c r="L170" s="46"/>
      <c r="U170" s="119" t="str" cm="1">
        <f t="array" ref="U170">IF(C170="",INDEX(C164:C170,MATCH(TRUE,INDEX((C164:C170&lt;&gt;""),0),0)),C170)</f>
        <v>BOS Atlanta</v>
      </c>
      <c r="V170" s="120">
        <f t="shared" si="26"/>
        <v>0.73573966710304839</v>
      </c>
      <c r="W170" s="120">
        <v>18000</v>
      </c>
      <c r="X170" s="120"/>
      <c r="Y170" s="120">
        <f t="shared" si="25"/>
        <v>15736</v>
      </c>
      <c r="Z170" s="121"/>
    </row>
    <row r="171" spans="1:26" ht="30" customHeight="1" x14ac:dyDescent="0.35">
      <c r="A171" s="8" t="s">
        <v>133</v>
      </c>
      <c r="B171" s="163">
        <v>29</v>
      </c>
      <c r="C171" s="163" t="s">
        <v>50</v>
      </c>
      <c r="D171" s="195" t="s">
        <v>49</v>
      </c>
      <c r="E171" s="26" t="s">
        <v>102</v>
      </c>
      <c r="F171" s="31"/>
      <c r="G171" s="34"/>
      <c r="H171" s="55" t="str">
        <f t="shared" si="22"/>
        <v/>
      </c>
      <c r="I171" s="55" t="str">
        <f t="shared" si="23"/>
        <v/>
      </c>
      <c r="J171" s="56" t="str">
        <f t="shared" si="24"/>
        <v/>
      </c>
      <c r="K171" s="2"/>
      <c r="L171" s="41"/>
      <c r="U171" s="119" t="str" cm="1">
        <f t="array" ref="U171">IF(C171="",INDEX(C165:C171,MATCH(TRUE,INDEX((C165:C171&lt;&gt;""),0),0)),C171)</f>
        <v>BOS Atlas</v>
      </c>
      <c r="V171" s="120">
        <f t="shared" si="26"/>
        <v>0.73573966710304839</v>
      </c>
      <c r="W171" s="120">
        <v>18000</v>
      </c>
      <c r="X171" s="120"/>
      <c r="Y171" s="120">
        <f t="shared" si="25"/>
        <v>15736</v>
      </c>
      <c r="Z171" s="121"/>
    </row>
    <row r="172" spans="1:26" ht="25" customHeight="1" outlineLevel="1" x14ac:dyDescent="0.35">
      <c r="B172" s="164"/>
      <c r="C172" s="164"/>
      <c r="D172" s="196"/>
      <c r="E172" s="3" t="s">
        <v>13</v>
      </c>
      <c r="F172" s="31" t="s">
        <v>21</v>
      </c>
      <c r="G172" s="35"/>
      <c r="H172" s="57" t="str">
        <f t="shared" si="22"/>
        <v/>
      </c>
      <c r="I172" s="57" t="str">
        <f t="shared" si="23"/>
        <v/>
      </c>
      <c r="J172" s="58" t="str">
        <f t="shared" si="24"/>
        <v/>
      </c>
      <c r="K172" s="3"/>
      <c r="L172" s="42"/>
      <c r="U172" s="119" t="str" cm="1">
        <f t="array" ref="U172">IF(C172="",INDEX(C166:C172,MATCH(TRUE,INDEX((C166:C172&lt;&gt;""),0),0)),C172)</f>
        <v>BOS Atlas</v>
      </c>
      <c r="V172" s="120">
        <f t="shared" si="26"/>
        <v>0.73573966710304839</v>
      </c>
      <c r="W172" s="120">
        <v>18000</v>
      </c>
      <c r="X172" s="120"/>
      <c r="Y172" s="120">
        <f t="shared" si="25"/>
        <v>15736</v>
      </c>
      <c r="Z172" s="121"/>
    </row>
    <row r="173" spans="1:26" ht="25" customHeight="1" outlineLevel="1" x14ac:dyDescent="0.35">
      <c r="B173" s="164"/>
      <c r="C173" s="164"/>
      <c r="D173" s="196"/>
      <c r="E173" s="3" t="s">
        <v>110</v>
      </c>
      <c r="F173" s="31" t="s">
        <v>32</v>
      </c>
      <c r="G173" s="35"/>
      <c r="H173" s="57" t="str">
        <f t="shared" si="22"/>
        <v/>
      </c>
      <c r="I173" s="57" t="str">
        <f t="shared" si="23"/>
        <v/>
      </c>
      <c r="J173" s="58" t="str">
        <f t="shared" si="24"/>
        <v/>
      </c>
      <c r="K173" s="3"/>
      <c r="L173" s="42"/>
      <c r="U173" s="119" t="str" cm="1">
        <f t="array" ref="U173">IF(C173="",INDEX(C167:C173,MATCH(TRUE,INDEX((C167:C173&lt;&gt;""),0),0)),C173)</f>
        <v>BOS Atlas</v>
      </c>
      <c r="V173" s="120">
        <f t="shared" si="26"/>
        <v>0.73573966710304839</v>
      </c>
      <c r="W173" s="120">
        <v>18000</v>
      </c>
      <c r="X173" s="120"/>
      <c r="Y173" s="120">
        <f t="shared" si="25"/>
        <v>15736</v>
      </c>
      <c r="Z173" s="121"/>
    </row>
    <row r="174" spans="1:26" ht="25" customHeight="1" outlineLevel="1" x14ac:dyDescent="0.35">
      <c r="B174" s="164"/>
      <c r="C174" s="164"/>
      <c r="D174" s="196"/>
      <c r="E174" s="3" t="s">
        <v>109</v>
      </c>
      <c r="F174" s="31" t="s">
        <v>17</v>
      </c>
      <c r="G174" s="35"/>
      <c r="H174" s="57">
        <f t="shared" si="22"/>
        <v>11771.834673648775</v>
      </c>
      <c r="I174" s="57">
        <f t="shared" si="23"/>
        <v>735.73966710304842</v>
      </c>
      <c r="J174" s="58">
        <f t="shared" si="24"/>
        <v>68.4237890405835</v>
      </c>
      <c r="K174" s="3"/>
      <c r="L174" s="42" t="s">
        <v>274</v>
      </c>
      <c r="M174" s="8" t="s">
        <v>133</v>
      </c>
      <c r="U174" s="119" t="str" cm="1">
        <f t="array" ref="U174">IF(C174="",INDEX(C168:C174,MATCH(TRUE,INDEX((C168:C174&lt;&gt;""),0),0)),C174)</f>
        <v>BOS Atlas</v>
      </c>
      <c r="V174" s="120">
        <f t="shared" si="26"/>
        <v>0.73573966710304839</v>
      </c>
      <c r="W174" s="120">
        <v>18000</v>
      </c>
      <c r="X174" s="120"/>
      <c r="Y174" s="120">
        <f t="shared" si="25"/>
        <v>15736</v>
      </c>
      <c r="Z174" s="121"/>
    </row>
    <row r="175" spans="1:26" ht="25" customHeight="1" outlineLevel="1" x14ac:dyDescent="0.35">
      <c r="B175" s="164"/>
      <c r="C175" s="164"/>
      <c r="D175" s="164"/>
      <c r="E175" s="3" t="s">
        <v>106</v>
      </c>
      <c r="F175" s="31" t="s">
        <v>17</v>
      </c>
      <c r="G175" s="35"/>
      <c r="H175" s="57">
        <f t="shared" si="22"/>
        <v>6106.6392369553014</v>
      </c>
      <c r="I175" s="57">
        <f t="shared" si="23"/>
        <v>2942.9586684121937</v>
      </c>
      <c r="J175" s="58">
        <f t="shared" si="24"/>
        <v>62.537871703759116</v>
      </c>
      <c r="K175" s="3"/>
      <c r="L175" s="42" t="s">
        <v>181</v>
      </c>
      <c r="U175" s="119" t="str" cm="1">
        <f t="array" ref="U175">IF(C175="",INDEX(C169:C175,MATCH(TRUE,INDEX((C169:C175&lt;&gt;""),0),0)),C175)</f>
        <v>BOS Atlas</v>
      </c>
      <c r="V175" s="120">
        <f t="shared" si="26"/>
        <v>0.73573966710304839</v>
      </c>
      <c r="W175" s="120">
        <v>18000</v>
      </c>
      <c r="X175" s="120"/>
      <c r="Y175" s="120">
        <f t="shared" si="25"/>
        <v>15736</v>
      </c>
      <c r="Z175" s="121"/>
    </row>
    <row r="176" spans="1:26" ht="25" customHeight="1" outlineLevel="1" x14ac:dyDescent="0.35">
      <c r="B176" s="165"/>
      <c r="C176" s="165"/>
      <c r="D176" s="165"/>
      <c r="E176" s="4" t="s">
        <v>14</v>
      </c>
      <c r="F176" s="31" t="s">
        <v>32</v>
      </c>
      <c r="G176" s="39"/>
      <c r="H176" s="65" t="str">
        <f t="shared" si="22"/>
        <v/>
      </c>
      <c r="I176" s="65" t="str">
        <f t="shared" si="23"/>
        <v/>
      </c>
      <c r="J176" s="66" t="str">
        <f t="shared" si="24"/>
        <v/>
      </c>
      <c r="K176" s="4"/>
      <c r="L176" s="43"/>
      <c r="U176" s="119" t="str" cm="1">
        <f t="array" ref="U176">IF(C176="",INDEX(C170:C176,MATCH(TRUE,INDEX((C170:C176&lt;&gt;""),0),0)),C176)</f>
        <v>BOS Atlas</v>
      </c>
      <c r="V176" s="120">
        <f t="shared" si="26"/>
        <v>0.73573966710304839</v>
      </c>
      <c r="W176" s="120">
        <v>18000</v>
      </c>
      <c r="X176" s="120"/>
      <c r="Y176" s="120">
        <f t="shared" si="25"/>
        <v>15736</v>
      </c>
      <c r="Z176" s="121"/>
    </row>
    <row r="177" spans="1:26" ht="30" customHeight="1" x14ac:dyDescent="0.35">
      <c r="A177" s="8" t="s">
        <v>133</v>
      </c>
      <c r="B177" s="160">
        <v>30</v>
      </c>
      <c r="C177" s="160" t="s">
        <v>51</v>
      </c>
      <c r="D177" s="193" t="s">
        <v>52</v>
      </c>
      <c r="E177" s="27" t="s">
        <v>102</v>
      </c>
      <c r="F177" s="32"/>
      <c r="G177" s="37"/>
      <c r="H177" s="61" t="str">
        <f t="shared" si="22"/>
        <v/>
      </c>
      <c r="I177" s="61" t="str">
        <f t="shared" si="23"/>
        <v/>
      </c>
      <c r="J177" s="62" t="str">
        <f t="shared" si="24"/>
        <v/>
      </c>
      <c r="K177" s="6"/>
      <c r="L177" s="44"/>
      <c r="U177" s="119" t="str" cm="1">
        <f t="array" ref="U177">IF(C177="",INDEX(C171:C177,MATCH(TRUE,INDEX((C171:C177&lt;&gt;""),0),0)),C177)</f>
        <v>BOS Challenge</v>
      </c>
      <c r="V177" s="120">
        <f t="shared" si="26"/>
        <v>0.92860482513559006</v>
      </c>
      <c r="W177" s="120">
        <v>20000</v>
      </c>
      <c r="X177" s="120"/>
      <c r="Y177" s="120">
        <f t="shared" si="25"/>
        <v>19861</v>
      </c>
      <c r="Z177" s="121"/>
    </row>
    <row r="178" spans="1:26" ht="25" customHeight="1" outlineLevel="1" x14ac:dyDescent="0.35">
      <c r="B178" s="161"/>
      <c r="C178" s="161"/>
      <c r="D178" s="194"/>
      <c r="E178" s="6" t="s">
        <v>13</v>
      </c>
      <c r="F178" s="32" t="s">
        <v>21</v>
      </c>
      <c r="G178" s="37"/>
      <c r="H178" s="61" t="str">
        <f t="shared" si="22"/>
        <v/>
      </c>
      <c r="I178" s="61" t="str">
        <f t="shared" si="23"/>
        <v/>
      </c>
      <c r="J178" s="62" t="str">
        <f t="shared" si="24"/>
        <v/>
      </c>
      <c r="K178" s="6"/>
      <c r="L178" s="45"/>
      <c r="U178" s="119" t="str" cm="1">
        <f t="array" ref="U178">IF(C178="",INDEX(C172:C178,MATCH(TRUE,INDEX((C172:C178&lt;&gt;""),0),0)),C178)</f>
        <v>BOS Challenge</v>
      </c>
      <c r="V178" s="120">
        <f t="shared" si="26"/>
        <v>0.92860482513559006</v>
      </c>
      <c r="W178" s="120">
        <v>20000</v>
      </c>
      <c r="X178" s="120"/>
      <c r="Y178" s="120">
        <f t="shared" si="25"/>
        <v>19861</v>
      </c>
      <c r="Z178" s="121"/>
    </row>
    <row r="179" spans="1:26" ht="25" customHeight="1" outlineLevel="1" x14ac:dyDescent="0.35">
      <c r="B179" s="161"/>
      <c r="C179" s="161"/>
      <c r="D179" s="194"/>
      <c r="E179" s="6" t="s">
        <v>110</v>
      </c>
      <c r="F179" s="32" t="s">
        <v>32</v>
      </c>
      <c r="G179" s="37"/>
      <c r="H179" s="61" t="str">
        <f t="shared" si="22"/>
        <v/>
      </c>
      <c r="I179" s="61" t="str">
        <f t="shared" si="23"/>
        <v/>
      </c>
      <c r="J179" s="62" t="str">
        <f t="shared" si="24"/>
        <v/>
      </c>
      <c r="K179" s="6"/>
      <c r="L179" s="45"/>
      <c r="U179" s="119" t="str" cm="1">
        <f t="array" ref="U179">IF(C179="",INDEX(C173:C179,MATCH(TRUE,INDEX((C173:C179&lt;&gt;""),0),0)),C179)</f>
        <v>BOS Challenge</v>
      </c>
      <c r="V179" s="120">
        <f t="shared" si="26"/>
        <v>0.92860482513559006</v>
      </c>
      <c r="W179" s="120">
        <v>20000</v>
      </c>
      <c r="X179" s="120"/>
      <c r="Y179" s="120">
        <f t="shared" si="25"/>
        <v>19861</v>
      </c>
      <c r="Z179" s="121"/>
    </row>
    <row r="180" spans="1:26" ht="25" customHeight="1" outlineLevel="1" x14ac:dyDescent="0.35">
      <c r="B180" s="161"/>
      <c r="C180" s="161"/>
      <c r="D180" s="194"/>
      <c r="E180" s="6" t="s">
        <v>109</v>
      </c>
      <c r="F180" s="32" t="s">
        <v>17</v>
      </c>
      <c r="G180" s="37"/>
      <c r="H180" s="61">
        <f t="shared" si="22"/>
        <v>14857.677202169441</v>
      </c>
      <c r="I180" s="61">
        <f t="shared" si="23"/>
        <v>928.60482513559009</v>
      </c>
      <c r="J180" s="62">
        <f t="shared" si="24"/>
        <v>86.360248737609879</v>
      </c>
      <c r="K180" s="6"/>
      <c r="L180" s="45" t="s">
        <v>274</v>
      </c>
      <c r="M180" s="8" t="s">
        <v>133</v>
      </c>
      <c r="U180" s="119" t="str" cm="1">
        <f t="array" ref="U180">IF(C180="",INDEX(C174:C180,MATCH(TRUE,INDEX((C174:C180&lt;&gt;""),0),0)),C180)</f>
        <v>BOS Challenge</v>
      </c>
      <c r="V180" s="120">
        <f t="shared" si="26"/>
        <v>0.92860482513559006</v>
      </c>
      <c r="W180" s="120">
        <v>20000</v>
      </c>
      <c r="X180" s="120"/>
      <c r="Y180" s="120">
        <f t="shared" si="25"/>
        <v>19861</v>
      </c>
      <c r="Z180" s="121"/>
    </row>
    <row r="181" spans="1:26" ht="25" customHeight="1" outlineLevel="1" x14ac:dyDescent="0.35">
      <c r="B181" s="161"/>
      <c r="C181" s="161"/>
      <c r="D181" s="161"/>
      <c r="E181" s="6" t="s">
        <v>106</v>
      </c>
      <c r="F181" s="32" t="s">
        <v>17</v>
      </c>
      <c r="G181" s="37">
        <v>44439</v>
      </c>
      <c r="H181" s="61">
        <f t="shared" si="22"/>
        <v>7707.4200486253976</v>
      </c>
      <c r="I181" s="61">
        <f t="shared" si="23"/>
        <v>3714.4193005423604</v>
      </c>
      <c r="J181" s="62">
        <f t="shared" si="24"/>
        <v>78.931410136525159</v>
      </c>
      <c r="K181" s="6"/>
      <c r="L181" s="45"/>
      <c r="U181" s="119" t="str" cm="1">
        <f t="array" ref="U181">IF(C181="",INDEX(C175:C181,MATCH(TRUE,INDEX((C175:C181&lt;&gt;""),0),0)),C181)</f>
        <v>BOS Challenge</v>
      </c>
      <c r="V181" s="120">
        <f t="shared" si="26"/>
        <v>0.92860482513559006</v>
      </c>
      <c r="W181" s="120">
        <v>20000</v>
      </c>
      <c r="X181" s="120"/>
      <c r="Y181" s="120">
        <f t="shared" si="25"/>
        <v>19861</v>
      </c>
      <c r="Z181" s="121"/>
    </row>
    <row r="182" spans="1:26" ht="25" customHeight="1" outlineLevel="1" x14ac:dyDescent="0.35">
      <c r="B182" s="162"/>
      <c r="C182" s="162"/>
      <c r="D182" s="162"/>
      <c r="E182" s="7" t="s">
        <v>14</v>
      </c>
      <c r="F182" s="32" t="s">
        <v>17</v>
      </c>
      <c r="G182" s="37"/>
      <c r="H182" s="61">
        <f t="shared" si="22"/>
        <v>1392.9072377033851</v>
      </c>
      <c r="I182" s="61">
        <f t="shared" si="23"/>
        <v>5757.3499158406585</v>
      </c>
      <c r="J182" s="62">
        <f t="shared" si="24"/>
        <v>7.4288386010847205</v>
      </c>
      <c r="K182" s="6"/>
      <c r="L182" s="46"/>
      <c r="U182" s="119" t="str" cm="1">
        <f t="array" ref="U182">IF(C182="",INDEX(C176:C182,MATCH(TRUE,INDEX((C176:C182&lt;&gt;""),0),0)),C182)</f>
        <v>BOS Challenge</v>
      </c>
      <c r="V182" s="120">
        <f t="shared" si="26"/>
        <v>0.92860482513559006</v>
      </c>
      <c r="W182" s="120">
        <v>20000</v>
      </c>
      <c r="X182" s="120"/>
      <c r="Y182" s="120">
        <f t="shared" si="25"/>
        <v>19861</v>
      </c>
      <c r="Z182" s="121"/>
    </row>
    <row r="183" spans="1:26" ht="30" customHeight="1" x14ac:dyDescent="0.35">
      <c r="A183" s="8" t="s">
        <v>133</v>
      </c>
      <c r="B183" s="163">
        <v>31</v>
      </c>
      <c r="C183" s="163" t="s">
        <v>53</v>
      </c>
      <c r="D183" s="195" t="s">
        <v>52</v>
      </c>
      <c r="E183" s="26" t="s">
        <v>102</v>
      </c>
      <c r="F183" s="31"/>
      <c r="G183" s="34"/>
      <c r="H183" s="55" t="str">
        <f t="shared" si="22"/>
        <v/>
      </c>
      <c r="I183" s="55" t="str">
        <f t="shared" si="23"/>
        <v/>
      </c>
      <c r="J183" s="56" t="str">
        <f t="shared" si="24"/>
        <v/>
      </c>
      <c r="K183" s="163" t="s">
        <v>175</v>
      </c>
      <c r="L183" s="41"/>
      <c r="U183" s="119" t="str" cm="1">
        <f t="array" ref="U183">IF(C183="",INDEX(C177:C183,MATCH(TRUE,INDEX((C177:C183&lt;&gt;""),0),0)),C183)</f>
        <v>BOS Champion</v>
      </c>
      <c r="V183" s="120">
        <f t="shared" si="26"/>
        <v>0.92860482513559006</v>
      </c>
      <c r="W183" s="120">
        <v>20000</v>
      </c>
      <c r="X183" s="120"/>
      <c r="Y183" s="120">
        <f t="shared" si="25"/>
        <v>19861</v>
      </c>
      <c r="Z183" s="121"/>
    </row>
    <row r="184" spans="1:26" ht="25" customHeight="1" outlineLevel="1" x14ac:dyDescent="0.35">
      <c r="B184" s="164"/>
      <c r="C184" s="164"/>
      <c r="D184" s="196"/>
      <c r="E184" s="3" t="s">
        <v>13</v>
      </c>
      <c r="F184" s="31" t="s">
        <v>17</v>
      </c>
      <c r="G184" s="35">
        <v>42124</v>
      </c>
      <c r="H184" s="57">
        <f t="shared" si="22"/>
        <v>10214.653076491491</v>
      </c>
      <c r="I184" s="57">
        <f t="shared" si="23"/>
        <v>2971.5354404338882</v>
      </c>
      <c r="J184" s="58">
        <f t="shared" si="24"/>
        <v>59.430708808677764</v>
      </c>
      <c r="K184" s="164"/>
      <c r="L184" s="42"/>
      <c r="U184" s="119" t="str" cm="1">
        <f t="array" ref="U184">IF(C184="",INDEX(C178:C184,MATCH(TRUE,INDEX((C178:C184&lt;&gt;""),0),0)),C184)</f>
        <v>BOS Champion</v>
      </c>
      <c r="V184" s="120">
        <f t="shared" si="26"/>
        <v>0.92860482513559006</v>
      </c>
      <c r="W184" s="120">
        <v>20000</v>
      </c>
      <c r="X184" s="120"/>
      <c r="Y184" s="120">
        <f t="shared" si="25"/>
        <v>19861</v>
      </c>
      <c r="Z184" s="121"/>
    </row>
    <row r="185" spans="1:26" ht="25" customHeight="1" outlineLevel="1" x14ac:dyDescent="0.35">
      <c r="B185" s="164"/>
      <c r="C185" s="164"/>
      <c r="D185" s="196"/>
      <c r="E185" s="3" t="s">
        <v>110</v>
      </c>
      <c r="F185" s="31" t="s">
        <v>32</v>
      </c>
      <c r="G185" s="35"/>
      <c r="H185" s="57" t="str">
        <f t="shared" si="22"/>
        <v/>
      </c>
      <c r="I185" s="57" t="str">
        <f t="shared" si="23"/>
        <v/>
      </c>
      <c r="J185" s="58" t="str">
        <f t="shared" si="24"/>
        <v/>
      </c>
      <c r="K185" s="164"/>
      <c r="L185" s="42"/>
      <c r="U185" s="119" t="str" cm="1">
        <f t="array" ref="U185">IF(C185="",INDEX(C179:C185,MATCH(TRUE,INDEX((C179:C185&lt;&gt;""),0),0)),C185)</f>
        <v>BOS Champion</v>
      </c>
      <c r="V185" s="120">
        <f t="shared" si="26"/>
        <v>0.92860482513559006</v>
      </c>
      <c r="W185" s="120">
        <v>20000</v>
      </c>
      <c r="X185" s="120"/>
      <c r="Y185" s="120">
        <f t="shared" si="25"/>
        <v>19861</v>
      </c>
      <c r="Z185" s="121"/>
    </row>
    <row r="186" spans="1:26" ht="25" customHeight="1" outlineLevel="1" x14ac:dyDescent="0.35">
      <c r="B186" s="164"/>
      <c r="C186" s="164"/>
      <c r="D186" s="196"/>
      <c r="E186" s="3" t="s">
        <v>109</v>
      </c>
      <c r="F186" s="31" t="s">
        <v>17</v>
      </c>
      <c r="G186" s="35">
        <v>42124</v>
      </c>
      <c r="H186" s="57">
        <f t="shared" si="22"/>
        <v>14857.677202169441</v>
      </c>
      <c r="I186" s="57">
        <f t="shared" si="23"/>
        <v>928.60482513559009</v>
      </c>
      <c r="J186" s="58">
        <f t="shared" si="24"/>
        <v>86.360248737609879</v>
      </c>
      <c r="K186" s="164"/>
      <c r="L186" s="42" t="s">
        <v>274</v>
      </c>
      <c r="M186" s="8" t="s">
        <v>133</v>
      </c>
      <c r="U186" s="119" t="str" cm="1">
        <f t="array" ref="U186">IF(C186="",INDEX(C180:C186,MATCH(TRUE,INDEX((C180:C186&lt;&gt;""),0),0)),C186)</f>
        <v>BOS Champion</v>
      </c>
      <c r="V186" s="120">
        <f t="shared" si="26"/>
        <v>0.92860482513559006</v>
      </c>
      <c r="W186" s="120">
        <v>20000</v>
      </c>
      <c r="X186" s="120"/>
      <c r="Y186" s="120">
        <f t="shared" si="25"/>
        <v>19861</v>
      </c>
      <c r="Z186" s="121"/>
    </row>
    <row r="187" spans="1:26" ht="25" customHeight="1" outlineLevel="1" x14ac:dyDescent="0.35">
      <c r="B187" s="164"/>
      <c r="C187" s="164"/>
      <c r="D187" s="164"/>
      <c r="E187" s="3" t="s">
        <v>106</v>
      </c>
      <c r="F187" s="31" t="s">
        <v>17</v>
      </c>
      <c r="G187" s="35">
        <v>44439</v>
      </c>
      <c r="H187" s="57">
        <f t="shared" si="22"/>
        <v>7707.4200486253976</v>
      </c>
      <c r="I187" s="57">
        <f t="shared" si="23"/>
        <v>3714.4193005423604</v>
      </c>
      <c r="J187" s="58">
        <f t="shared" si="24"/>
        <v>78.931410136525159</v>
      </c>
      <c r="K187" s="164"/>
      <c r="L187" s="42"/>
      <c r="U187" s="119" t="str" cm="1">
        <f t="array" ref="U187">IF(C187="",INDEX(C181:C187,MATCH(TRUE,INDEX((C181:C187&lt;&gt;""),0),0)),C187)</f>
        <v>BOS Champion</v>
      </c>
      <c r="V187" s="120">
        <f t="shared" si="26"/>
        <v>0.92860482513559006</v>
      </c>
      <c r="W187" s="120">
        <v>20000</v>
      </c>
      <c r="X187" s="120"/>
      <c r="Y187" s="120">
        <f t="shared" si="25"/>
        <v>19861</v>
      </c>
      <c r="Z187" s="121"/>
    </row>
    <row r="188" spans="1:26" ht="25" customHeight="1" outlineLevel="1" x14ac:dyDescent="0.35">
      <c r="B188" s="165"/>
      <c r="C188" s="165"/>
      <c r="D188" s="165"/>
      <c r="E188" s="4" t="s">
        <v>14</v>
      </c>
      <c r="F188" s="31" t="s">
        <v>17</v>
      </c>
      <c r="G188" s="39"/>
      <c r="H188" s="65">
        <f t="shared" si="22"/>
        <v>1392.9072377033851</v>
      </c>
      <c r="I188" s="65">
        <f t="shared" si="23"/>
        <v>5757.3499158406585</v>
      </c>
      <c r="J188" s="66">
        <f t="shared" si="24"/>
        <v>7.4288386010847205</v>
      </c>
      <c r="K188" s="165"/>
      <c r="L188" s="43"/>
      <c r="U188" s="119" t="str" cm="1">
        <f t="array" ref="U188">IF(C188="",INDEX(C182:C188,MATCH(TRUE,INDEX((C182:C188&lt;&gt;""),0),0)),C188)</f>
        <v>BOS Champion</v>
      </c>
      <c r="V188" s="120">
        <f t="shared" si="26"/>
        <v>0.92860482513559006</v>
      </c>
      <c r="W188" s="120">
        <v>20000</v>
      </c>
      <c r="X188" s="120"/>
      <c r="Y188" s="120">
        <f t="shared" si="25"/>
        <v>19861</v>
      </c>
      <c r="Z188" s="121"/>
    </row>
    <row r="189" spans="1:26" ht="30" customHeight="1" x14ac:dyDescent="0.35">
      <c r="A189" s="8" t="s">
        <v>133</v>
      </c>
      <c r="B189" s="160">
        <v>32</v>
      </c>
      <c r="C189" s="160" t="s">
        <v>54</v>
      </c>
      <c r="D189" s="160" t="s">
        <v>55</v>
      </c>
      <c r="E189" s="27" t="s">
        <v>102</v>
      </c>
      <c r="F189" s="32"/>
      <c r="G189" s="37"/>
      <c r="H189" s="61" t="str">
        <f t="shared" si="22"/>
        <v/>
      </c>
      <c r="I189" s="61" t="str">
        <f t="shared" si="23"/>
        <v/>
      </c>
      <c r="J189" s="62" t="str">
        <f t="shared" si="24"/>
        <v/>
      </c>
      <c r="K189" s="6"/>
      <c r="L189" s="44"/>
      <c r="U189" s="119" t="str" cm="1">
        <f t="array" ref="U189">IF(C189="",INDEX(C183:C189,MATCH(TRUE,INDEX((C183:C189&lt;&gt;""),0),0)),C189)</f>
        <v>BOS Aphrodite</v>
      </c>
      <c r="V189" s="120">
        <f t="shared" si="26"/>
        <v>0.73573966710304839</v>
      </c>
      <c r="W189" s="120">
        <v>18000</v>
      </c>
      <c r="X189" s="120"/>
      <c r="Y189" s="120">
        <f t="shared" si="25"/>
        <v>15736</v>
      </c>
      <c r="Z189" s="121"/>
    </row>
    <row r="190" spans="1:26" ht="25" customHeight="1" outlineLevel="1" x14ac:dyDescent="0.35">
      <c r="B190" s="161"/>
      <c r="C190" s="161"/>
      <c r="D190" s="161"/>
      <c r="E190" s="6" t="s">
        <v>13</v>
      </c>
      <c r="F190" s="32" t="s">
        <v>17</v>
      </c>
      <c r="G190" s="37"/>
      <c r="H190" s="61">
        <f t="shared" si="22"/>
        <v>8093.1363381335323</v>
      </c>
      <c r="I190" s="61">
        <f t="shared" si="23"/>
        <v>2354.366934729755</v>
      </c>
      <c r="J190" s="62">
        <f t="shared" si="24"/>
        <v>47.087338694595097</v>
      </c>
      <c r="K190" s="6"/>
      <c r="L190" s="45"/>
      <c r="U190" s="119" t="str" cm="1">
        <f t="array" ref="U190">IF(C190="",INDEX(C184:C190,MATCH(TRUE,INDEX((C184:C190&lt;&gt;""),0),0)),C190)</f>
        <v>BOS Aphrodite</v>
      </c>
      <c r="V190" s="120">
        <f t="shared" si="26"/>
        <v>0.73573966710304839</v>
      </c>
      <c r="W190" s="120">
        <v>18000</v>
      </c>
      <c r="X190" s="120"/>
      <c r="Y190" s="120">
        <f t="shared" si="25"/>
        <v>15736</v>
      </c>
      <c r="Z190" s="121"/>
    </row>
    <row r="191" spans="1:26" ht="25" customHeight="1" outlineLevel="1" x14ac:dyDescent="0.35">
      <c r="B191" s="161"/>
      <c r="C191" s="161"/>
      <c r="D191" s="161"/>
      <c r="E191" s="6" t="s">
        <v>110</v>
      </c>
      <c r="F191" s="32" t="s">
        <v>21</v>
      </c>
      <c r="G191" s="37"/>
      <c r="H191" s="61" t="str">
        <f t="shared" si="22"/>
        <v/>
      </c>
      <c r="I191" s="61" t="str">
        <f t="shared" si="23"/>
        <v/>
      </c>
      <c r="J191" s="62" t="str">
        <f t="shared" si="24"/>
        <v/>
      </c>
      <c r="K191" s="6"/>
      <c r="L191" s="45"/>
      <c r="U191" s="119" t="str" cm="1">
        <f t="array" ref="U191">IF(C191="",INDEX(C185:C191,MATCH(TRUE,INDEX((C185:C191&lt;&gt;""),0),0)),C191)</f>
        <v>BOS Aphrodite</v>
      </c>
      <c r="V191" s="120">
        <f t="shared" si="26"/>
        <v>0.73573966710304839</v>
      </c>
      <c r="W191" s="120">
        <v>18000</v>
      </c>
      <c r="X191" s="120"/>
      <c r="Y191" s="120">
        <f t="shared" si="25"/>
        <v>15736</v>
      </c>
      <c r="Z191" s="121"/>
    </row>
    <row r="192" spans="1:26" ht="25" customHeight="1" outlineLevel="1" x14ac:dyDescent="0.35">
      <c r="B192" s="161"/>
      <c r="C192" s="161"/>
      <c r="D192" s="161"/>
      <c r="E192" s="6" t="s">
        <v>109</v>
      </c>
      <c r="F192" s="32" t="s">
        <v>21</v>
      </c>
      <c r="G192" s="37"/>
      <c r="H192" s="61" t="str">
        <f t="shared" si="22"/>
        <v/>
      </c>
      <c r="I192" s="61" t="str">
        <f t="shared" si="23"/>
        <v/>
      </c>
      <c r="J192" s="62" t="str">
        <f t="shared" si="24"/>
        <v/>
      </c>
      <c r="K192" s="6"/>
      <c r="L192" s="45"/>
      <c r="U192" s="119" t="str" cm="1">
        <f t="array" ref="U192">IF(C192="",INDEX(C186:C192,MATCH(TRUE,INDEX((C186:C192&lt;&gt;""),0),0)),C192)</f>
        <v>BOS Aphrodite</v>
      </c>
      <c r="V192" s="120">
        <f t="shared" si="26"/>
        <v>0.73573966710304839</v>
      </c>
      <c r="W192" s="120">
        <v>18000</v>
      </c>
      <c r="X192" s="120"/>
      <c r="Y192" s="120">
        <f t="shared" si="25"/>
        <v>15736</v>
      </c>
      <c r="Z192" s="121"/>
    </row>
    <row r="193" spans="1:26" ht="25" customHeight="1" outlineLevel="1" x14ac:dyDescent="0.35">
      <c r="B193" s="161"/>
      <c r="C193" s="161"/>
      <c r="D193" s="161"/>
      <c r="E193" s="6" t="s">
        <v>106</v>
      </c>
      <c r="F193" s="32" t="s">
        <v>21</v>
      </c>
      <c r="G193" s="37"/>
      <c r="H193" s="61" t="str">
        <f t="shared" si="22"/>
        <v/>
      </c>
      <c r="I193" s="61" t="str">
        <f t="shared" si="23"/>
        <v/>
      </c>
      <c r="J193" s="62" t="str">
        <f t="shared" si="24"/>
        <v/>
      </c>
      <c r="K193" s="6"/>
      <c r="L193" s="45"/>
      <c r="U193" s="119" t="str" cm="1">
        <f t="array" ref="U193">IF(C193="",INDEX(C187:C193,MATCH(TRUE,INDEX((C187:C193&lt;&gt;""),0),0)),C193)</f>
        <v>BOS Aphrodite</v>
      </c>
      <c r="V193" s="120">
        <f t="shared" si="26"/>
        <v>0.73573966710304839</v>
      </c>
      <c r="W193" s="120">
        <v>18000</v>
      </c>
      <c r="X193" s="120"/>
      <c r="Y193" s="120">
        <f t="shared" si="25"/>
        <v>15736</v>
      </c>
      <c r="Z193" s="121"/>
    </row>
    <row r="194" spans="1:26" ht="25" customHeight="1" outlineLevel="1" x14ac:dyDescent="0.35">
      <c r="B194" s="162"/>
      <c r="C194" s="162"/>
      <c r="D194" s="162"/>
      <c r="E194" s="7" t="s">
        <v>14</v>
      </c>
      <c r="F194" s="32" t="s">
        <v>32</v>
      </c>
      <c r="G194" s="37"/>
      <c r="H194" s="61" t="str">
        <f t="shared" si="22"/>
        <v/>
      </c>
      <c r="I194" s="61" t="str">
        <f t="shared" si="23"/>
        <v/>
      </c>
      <c r="J194" s="62" t="str">
        <f t="shared" si="24"/>
        <v/>
      </c>
      <c r="K194" s="6"/>
      <c r="L194" s="46"/>
      <c r="U194" s="119" t="str" cm="1">
        <f t="array" ref="U194">IF(C194="",INDEX(C188:C194,MATCH(TRUE,INDEX((C188:C194&lt;&gt;""),0),0)),C194)</f>
        <v>BOS Aphrodite</v>
      </c>
      <c r="V194" s="120">
        <f t="shared" si="26"/>
        <v>0.73573966710304839</v>
      </c>
      <c r="W194" s="120">
        <v>18000</v>
      </c>
      <c r="X194" s="120"/>
      <c r="Y194" s="120">
        <f t="shared" si="25"/>
        <v>15736</v>
      </c>
      <c r="Z194" s="121"/>
    </row>
    <row r="195" spans="1:26" ht="30" customHeight="1" x14ac:dyDescent="0.35">
      <c r="A195" s="8" t="s">
        <v>133</v>
      </c>
      <c r="B195" s="163">
        <v>33</v>
      </c>
      <c r="C195" s="163" t="s">
        <v>56</v>
      </c>
      <c r="D195" s="163" t="s">
        <v>163</v>
      </c>
      <c r="E195" s="26" t="s">
        <v>102</v>
      </c>
      <c r="F195" s="31"/>
      <c r="G195" s="34"/>
      <c r="H195" s="55" t="str">
        <f t="shared" si="22"/>
        <v/>
      </c>
      <c r="I195" s="55" t="str">
        <f t="shared" si="23"/>
        <v/>
      </c>
      <c r="J195" s="56" t="str">
        <f t="shared" si="24"/>
        <v/>
      </c>
      <c r="K195" s="206" t="s">
        <v>164</v>
      </c>
      <c r="L195" s="41"/>
      <c r="U195" s="119" t="str" cm="1">
        <f t="array" ref="U195">IF(C195="",INDEX(C189:C195,MATCH(TRUE,INDEX((C189:C195&lt;&gt;""),0),0)),C195)</f>
        <v>BOS Apollo</v>
      </c>
      <c r="V195" s="120">
        <f t="shared" si="26"/>
        <v>0.73573966710304839</v>
      </c>
      <c r="W195" s="120">
        <v>18000</v>
      </c>
      <c r="X195" s="120"/>
      <c r="Y195" s="120">
        <f t="shared" si="25"/>
        <v>15736</v>
      </c>
      <c r="Z195" s="121"/>
    </row>
    <row r="196" spans="1:26" ht="25" customHeight="1" outlineLevel="1" x14ac:dyDescent="0.35">
      <c r="B196" s="164"/>
      <c r="C196" s="164"/>
      <c r="D196" s="164"/>
      <c r="E196" s="3" t="s">
        <v>13</v>
      </c>
      <c r="F196" s="31" t="s">
        <v>17</v>
      </c>
      <c r="G196" s="35">
        <v>40801</v>
      </c>
      <c r="H196" s="57">
        <f t="shared" si="22"/>
        <v>8093.1363381335323</v>
      </c>
      <c r="I196" s="57">
        <f t="shared" si="23"/>
        <v>2354.366934729755</v>
      </c>
      <c r="J196" s="58">
        <f t="shared" si="24"/>
        <v>47.087338694595097</v>
      </c>
      <c r="K196" s="164"/>
      <c r="L196" s="42"/>
      <c r="U196" s="119" t="str" cm="1">
        <f t="array" ref="U196">IF(C196="",INDEX(C190:C196,MATCH(TRUE,INDEX((C190:C196&lt;&gt;""),0),0)),C196)</f>
        <v>BOS Apollo</v>
      </c>
      <c r="V196" s="120">
        <f t="shared" si="26"/>
        <v>0.73573966710304839</v>
      </c>
      <c r="W196" s="120">
        <v>18000</v>
      </c>
      <c r="X196" s="120"/>
      <c r="Y196" s="120">
        <f t="shared" si="25"/>
        <v>15736</v>
      </c>
      <c r="Z196" s="121"/>
    </row>
    <row r="197" spans="1:26" ht="25" customHeight="1" outlineLevel="1" x14ac:dyDescent="0.35">
      <c r="B197" s="164"/>
      <c r="C197" s="164"/>
      <c r="D197" s="164"/>
      <c r="E197" s="3" t="s">
        <v>110</v>
      </c>
      <c r="F197" s="31" t="s">
        <v>21</v>
      </c>
      <c r="G197" s="35"/>
      <c r="H197" s="57" t="str">
        <f t="shared" si="22"/>
        <v/>
      </c>
      <c r="I197" s="57" t="str">
        <f t="shared" si="23"/>
        <v/>
      </c>
      <c r="J197" s="58" t="str">
        <f t="shared" si="24"/>
        <v/>
      </c>
      <c r="K197" s="164"/>
      <c r="L197" s="42"/>
      <c r="U197" s="119" t="str" cm="1">
        <f t="array" ref="U197">IF(C197="",INDEX(C191:C197,MATCH(TRUE,INDEX((C191:C197&lt;&gt;""),0),0)),C197)</f>
        <v>BOS Apollo</v>
      </c>
      <c r="V197" s="120">
        <f t="shared" si="26"/>
        <v>0.73573966710304839</v>
      </c>
      <c r="W197" s="120">
        <v>18000</v>
      </c>
      <c r="X197" s="120"/>
      <c r="Y197" s="120">
        <f t="shared" si="25"/>
        <v>15736</v>
      </c>
      <c r="Z197" s="121"/>
    </row>
    <row r="198" spans="1:26" ht="25" customHeight="1" outlineLevel="1" x14ac:dyDescent="0.35">
      <c r="B198" s="164"/>
      <c r="C198" s="164"/>
      <c r="D198" s="164"/>
      <c r="E198" s="3" t="s">
        <v>109</v>
      </c>
      <c r="F198" s="31" t="s">
        <v>21</v>
      </c>
      <c r="G198" s="35">
        <v>40801</v>
      </c>
      <c r="H198" s="57" t="str">
        <f t="shared" si="22"/>
        <v/>
      </c>
      <c r="I198" s="57" t="str">
        <f t="shared" si="23"/>
        <v/>
      </c>
      <c r="J198" s="58" t="str">
        <f t="shared" si="24"/>
        <v/>
      </c>
      <c r="K198" s="164"/>
      <c r="L198" s="42"/>
      <c r="U198" s="119" t="str" cm="1">
        <f t="array" ref="U198">IF(C198="",INDEX(C192:C198,MATCH(TRUE,INDEX((C192:C198&lt;&gt;""),0),0)),C198)</f>
        <v>BOS Apollo</v>
      </c>
      <c r="V198" s="120">
        <f t="shared" si="26"/>
        <v>0.73573966710304839</v>
      </c>
      <c r="W198" s="120">
        <v>18000</v>
      </c>
      <c r="X198" s="120"/>
      <c r="Y198" s="120">
        <f t="shared" si="25"/>
        <v>15736</v>
      </c>
      <c r="Z198" s="121"/>
    </row>
    <row r="199" spans="1:26" ht="25" customHeight="1" outlineLevel="1" x14ac:dyDescent="0.35">
      <c r="B199" s="164"/>
      <c r="C199" s="164"/>
      <c r="D199" s="164"/>
      <c r="E199" s="3" t="s">
        <v>106</v>
      </c>
      <c r="F199" s="31" t="s">
        <v>17</v>
      </c>
      <c r="G199" s="35">
        <v>45047</v>
      </c>
      <c r="H199" s="57">
        <f t="shared" si="22"/>
        <v>6106.6392369553014</v>
      </c>
      <c r="I199" s="57">
        <f t="shared" si="23"/>
        <v>2942.9586684121937</v>
      </c>
      <c r="J199" s="58">
        <f t="shared" si="24"/>
        <v>62.537871703759116</v>
      </c>
      <c r="K199" s="164"/>
      <c r="L199" s="42"/>
      <c r="U199" s="119" t="str" cm="1">
        <f t="array" ref="U199">IF(C199="",INDEX(C193:C199,MATCH(TRUE,INDEX((C193:C199&lt;&gt;""),0),0)),C199)</f>
        <v>BOS Apollo</v>
      </c>
      <c r="V199" s="120">
        <f t="shared" si="26"/>
        <v>0.73573966710304839</v>
      </c>
      <c r="W199" s="120">
        <v>18000</v>
      </c>
      <c r="X199" s="120"/>
      <c r="Y199" s="120">
        <f t="shared" si="25"/>
        <v>15736</v>
      </c>
      <c r="Z199" s="121"/>
    </row>
    <row r="200" spans="1:26" ht="25" customHeight="1" outlineLevel="1" x14ac:dyDescent="0.35">
      <c r="B200" s="165"/>
      <c r="C200" s="165"/>
      <c r="D200" s="165"/>
      <c r="E200" s="4" t="s">
        <v>14</v>
      </c>
      <c r="F200" s="31" t="s">
        <v>32</v>
      </c>
      <c r="G200" s="39"/>
      <c r="H200" s="65" t="str">
        <f t="shared" si="22"/>
        <v/>
      </c>
      <c r="I200" s="65" t="str">
        <f t="shared" si="23"/>
        <v/>
      </c>
      <c r="J200" s="66" t="str">
        <f t="shared" si="24"/>
        <v/>
      </c>
      <c r="K200" s="165"/>
      <c r="L200" s="43"/>
      <c r="U200" s="119" t="str" cm="1">
        <f t="array" ref="U200">IF(C200="",INDEX(C194:C200,MATCH(TRUE,INDEX((C194:C200&lt;&gt;""),0),0)),C200)</f>
        <v>BOS Apollo</v>
      </c>
      <c r="V200" s="120">
        <f t="shared" si="26"/>
        <v>0.73573966710304839</v>
      </c>
      <c r="W200" s="120">
        <v>18000</v>
      </c>
      <c r="X200" s="120"/>
      <c r="Y200" s="120">
        <f t="shared" si="25"/>
        <v>15736</v>
      </c>
      <c r="Z200" s="121"/>
    </row>
    <row r="201" spans="1:26" ht="30" customHeight="1" x14ac:dyDescent="0.35">
      <c r="A201" s="8" t="s">
        <v>133</v>
      </c>
      <c r="B201" s="160">
        <v>34</v>
      </c>
      <c r="C201" s="160" t="s">
        <v>57</v>
      </c>
      <c r="D201" s="160" t="s">
        <v>55</v>
      </c>
      <c r="E201" s="27" t="s">
        <v>102</v>
      </c>
      <c r="F201" s="32"/>
      <c r="G201" s="37"/>
      <c r="H201" s="61" t="str">
        <f t="shared" si="22"/>
        <v/>
      </c>
      <c r="I201" s="61" t="str">
        <f t="shared" si="23"/>
        <v/>
      </c>
      <c r="J201" s="62" t="str">
        <f t="shared" si="24"/>
        <v/>
      </c>
      <c r="K201" s="6"/>
      <c r="L201" s="44"/>
      <c r="U201" s="119" t="str" cm="1">
        <f t="array" ref="U201">IF(C201="",INDEX(C195:C201,MATCH(TRUE,INDEX((C195:C201&lt;&gt;""),0),0)),C201)</f>
        <v>BOS Athos</v>
      </c>
      <c r="V201" s="120">
        <f t="shared" si="26"/>
        <v>0.73573966710304839</v>
      </c>
      <c r="W201" s="120">
        <v>18000</v>
      </c>
      <c r="X201" s="120"/>
      <c r="Y201" s="120">
        <f t="shared" si="25"/>
        <v>15736</v>
      </c>
      <c r="Z201" s="121"/>
    </row>
    <row r="202" spans="1:26" ht="25" customHeight="1" outlineLevel="1" x14ac:dyDescent="0.35">
      <c r="B202" s="161"/>
      <c r="C202" s="161"/>
      <c r="D202" s="161"/>
      <c r="E202" s="6" t="s">
        <v>13</v>
      </c>
      <c r="F202" s="32" t="s">
        <v>21</v>
      </c>
      <c r="G202" s="37"/>
      <c r="H202" s="61" t="str">
        <f t="shared" ref="H202:H265" si="27">IF(F202="Done", V202*VLOOKUP(E202, $AB$3:$AC$16, 2, FALSE), "")</f>
        <v/>
      </c>
      <c r="I202" s="61" t="str">
        <f t="shared" ref="I202:I265" si="28">IF(F202="Done", V202*VLOOKUP(E202, $AB$3:$AD$16, 3, FALSE), "")</f>
        <v/>
      </c>
      <c r="J202" s="62" t="str">
        <f t="shared" ref="J202:J265" si="29">IF(F202="Done", V202*VLOOKUP(E202, $AB$3:$AE$16, 4, FALSE), "")</f>
        <v/>
      </c>
      <c r="K202" s="6"/>
      <c r="L202" s="45"/>
      <c r="U202" s="119" t="str" cm="1">
        <f t="array" ref="U202">IF(C202="",INDEX(C196:C202,MATCH(TRUE,INDEX((C196:C202&lt;&gt;""),0),0)),C202)</f>
        <v>BOS Athos</v>
      </c>
      <c r="V202" s="120">
        <f t="shared" si="26"/>
        <v>0.73573966710304839</v>
      </c>
      <c r="W202" s="120">
        <v>18000</v>
      </c>
      <c r="X202" s="120"/>
      <c r="Y202" s="120">
        <f t="shared" si="25"/>
        <v>15736</v>
      </c>
      <c r="Z202" s="121"/>
    </row>
    <row r="203" spans="1:26" ht="25" customHeight="1" outlineLevel="1" x14ac:dyDescent="0.35">
      <c r="B203" s="161"/>
      <c r="C203" s="161"/>
      <c r="D203" s="161"/>
      <c r="E203" s="6" t="s">
        <v>110</v>
      </c>
      <c r="F203" s="32" t="s">
        <v>21</v>
      </c>
      <c r="G203" s="37"/>
      <c r="H203" s="61" t="str">
        <f t="shared" si="27"/>
        <v/>
      </c>
      <c r="I203" s="61" t="str">
        <f t="shared" si="28"/>
        <v/>
      </c>
      <c r="J203" s="62" t="str">
        <f t="shared" si="29"/>
        <v/>
      </c>
      <c r="K203" s="6"/>
      <c r="L203" s="45"/>
      <c r="U203" s="119" t="str" cm="1">
        <f t="array" ref="U203">IF(C203="",INDEX(C197:C203,MATCH(TRUE,INDEX((C197:C203&lt;&gt;""),0),0)),C203)</f>
        <v>BOS Athos</v>
      </c>
      <c r="V203" s="120">
        <f t="shared" si="26"/>
        <v>0.73573966710304839</v>
      </c>
      <c r="W203" s="120">
        <v>18000</v>
      </c>
      <c r="X203" s="120"/>
      <c r="Y203" s="120">
        <f t="shared" si="25"/>
        <v>15736</v>
      </c>
      <c r="Z203" s="121"/>
    </row>
    <row r="204" spans="1:26" ht="25" customHeight="1" outlineLevel="1" x14ac:dyDescent="0.35">
      <c r="B204" s="161"/>
      <c r="C204" s="161"/>
      <c r="D204" s="161"/>
      <c r="E204" s="6" t="s">
        <v>109</v>
      </c>
      <c r="F204" s="32" t="s">
        <v>21</v>
      </c>
      <c r="G204" s="37"/>
      <c r="H204" s="61" t="str">
        <f t="shared" si="27"/>
        <v/>
      </c>
      <c r="I204" s="61" t="str">
        <f t="shared" si="28"/>
        <v/>
      </c>
      <c r="J204" s="62" t="str">
        <f t="shared" si="29"/>
        <v/>
      </c>
      <c r="K204" s="6"/>
      <c r="L204" s="45"/>
      <c r="U204" s="119" t="str" cm="1">
        <f t="array" ref="U204">IF(C204="",INDEX(C198:C204,MATCH(TRUE,INDEX((C198:C204&lt;&gt;""),0),0)),C204)</f>
        <v>BOS Athos</v>
      </c>
      <c r="V204" s="120">
        <f t="shared" si="26"/>
        <v>0.73573966710304839</v>
      </c>
      <c r="W204" s="120">
        <v>18000</v>
      </c>
      <c r="X204" s="120"/>
      <c r="Y204" s="120">
        <f t="shared" si="25"/>
        <v>15736</v>
      </c>
      <c r="Z204" s="121"/>
    </row>
    <row r="205" spans="1:26" ht="25" customHeight="1" outlineLevel="1" x14ac:dyDescent="0.35">
      <c r="B205" s="161"/>
      <c r="C205" s="161"/>
      <c r="D205" s="161"/>
      <c r="E205" s="6" t="s">
        <v>310</v>
      </c>
      <c r="F205" s="32" t="s">
        <v>17</v>
      </c>
      <c r="G205" s="37"/>
      <c r="H205" s="61">
        <f t="shared" si="27"/>
        <v>7357.396671030484</v>
      </c>
      <c r="I205" s="61">
        <f t="shared" si="28"/>
        <v>0</v>
      </c>
      <c r="J205" s="62">
        <f t="shared" si="29"/>
        <v>42.672900691976807</v>
      </c>
      <c r="K205" s="6"/>
      <c r="L205" s="45"/>
      <c r="U205" s="119" t="str" cm="1">
        <f t="array" ref="U205">IF(C205="",INDEX(C199:C205,MATCH(TRUE,INDEX((C199:C205&lt;&gt;""),0),0)),C205)</f>
        <v>BOS Athos</v>
      </c>
      <c r="V205" s="120">
        <f t="shared" ref="V205" si="30">MIN(Y205/21388,1.3)</f>
        <v>0.73573966710304839</v>
      </c>
      <c r="W205" s="120">
        <v>18001</v>
      </c>
      <c r="X205" s="120"/>
      <c r="Y205" s="120">
        <f t="shared" ref="Y205" si="31">INT(VLOOKUP(U205, $AB$30:$AH$101, 7, FALSE))</f>
        <v>15736</v>
      </c>
      <c r="Z205" s="121"/>
    </row>
    <row r="206" spans="1:26" ht="25" customHeight="1" outlineLevel="1" x14ac:dyDescent="0.35">
      <c r="B206" s="161"/>
      <c r="C206" s="161"/>
      <c r="D206" s="161"/>
      <c r="E206" s="6" t="s">
        <v>106</v>
      </c>
      <c r="F206" s="32" t="s">
        <v>21</v>
      </c>
      <c r="G206" s="37"/>
      <c r="H206" s="61" t="str">
        <f t="shared" si="27"/>
        <v/>
      </c>
      <c r="I206" s="61" t="str">
        <f t="shared" si="28"/>
        <v/>
      </c>
      <c r="J206" s="62" t="str">
        <f t="shared" si="29"/>
        <v/>
      </c>
      <c r="K206" s="6"/>
      <c r="L206" s="45"/>
      <c r="U206" s="119" t="str" cm="1">
        <f t="array" ref="U206">IF(C206="",INDEX(C199:C206,MATCH(TRUE,INDEX((C199:C206&lt;&gt;""),0),0)),C206)</f>
        <v>BOS Athos</v>
      </c>
      <c r="V206" s="120">
        <f t="shared" si="26"/>
        <v>0.73573966710304839</v>
      </c>
      <c r="W206" s="120">
        <v>18000</v>
      </c>
      <c r="X206" s="120"/>
      <c r="Y206" s="120">
        <f t="shared" si="25"/>
        <v>15736</v>
      </c>
      <c r="Z206" s="121"/>
    </row>
    <row r="207" spans="1:26" ht="25" customHeight="1" outlineLevel="1" x14ac:dyDescent="0.35">
      <c r="B207" s="162"/>
      <c r="C207" s="162"/>
      <c r="D207" s="162"/>
      <c r="E207" s="7" t="s">
        <v>14</v>
      </c>
      <c r="F207" s="32" t="s">
        <v>32</v>
      </c>
      <c r="G207" s="37"/>
      <c r="H207" s="61" t="str">
        <f t="shared" si="27"/>
        <v/>
      </c>
      <c r="I207" s="61" t="str">
        <f t="shared" si="28"/>
        <v/>
      </c>
      <c r="J207" s="62" t="str">
        <f t="shared" si="29"/>
        <v/>
      </c>
      <c r="K207" s="6"/>
      <c r="L207" s="46"/>
      <c r="U207" s="119" t="str" cm="1">
        <f t="array" ref="U207">IF(C207="",INDEX(C200:C207,MATCH(TRUE,INDEX((C200:C207&lt;&gt;""),0),0)),C207)</f>
        <v>BOS Athos</v>
      </c>
      <c r="V207" s="120">
        <f t="shared" si="26"/>
        <v>0.73573966710304839</v>
      </c>
      <c r="W207" s="120">
        <v>18000</v>
      </c>
      <c r="X207" s="120"/>
      <c r="Y207" s="120">
        <f t="shared" si="25"/>
        <v>15736</v>
      </c>
      <c r="Z207" s="121"/>
    </row>
    <row r="208" spans="1:26" ht="30" customHeight="1" x14ac:dyDescent="0.35">
      <c r="A208" s="8" t="s">
        <v>133</v>
      </c>
      <c r="B208" s="163">
        <v>35</v>
      </c>
      <c r="C208" s="163" t="s">
        <v>58</v>
      </c>
      <c r="D208" s="163" t="s">
        <v>59</v>
      </c>
      <c r="E208" s="26" t="s">
        <v>102</v>
      </c>
      <c r="F208" s="31"/>
      <c r="G208" s="34"/>
      <c r="H208" s="55" t="str">
        <f t="shared" si="27"/>
        <v/>
      </c>
      <c r="I208" s="55" t="str">
        <f t="shared" si="28"/>
        <v/>
      </c>
      <c r="J208" s="56" t="str">
        <f t="shared" si="29"/>
        <v/>
      </c>
      <c r="K208" s="2"/>
      <c r="L208" s="41"/>
      <c r="U208" s="119" t="str" cm="1">
        <f t="array" ref="U208">IF(C208="",INDEX(C201:C208,MATCH(TRUE,INDEX((C201:C208&lt;&gt;""),0),0)),C208)</f>
        <v>BOS Chablis</v>
      </c>
      <c r="V208" s="120">
        <f t="shared" si="26"/>
        <v>0.92860482513559006</v>
      </c>
      <c r="W208" s="120">
        <v>20000</v>
      </c>
      <c r="X208" s="120"/>
      <c r="Y208" s="120">
        <f t="shared" ref="Y208:Y275" si="32">INT(VLOOKUP(U208, $AB$30:$AH$101, 7, FALSE))</f>
        <v>19861</v>
      </c>
      <c r="Z208" s="121"/>
    </row>
    <row r="209" spans="1:26" ht="25" customHeight="1" outlineLevel="1" x14ac:dyDescent="0.35">
      <c r="B209" s="164"/>
      <c r="C209" s="164"/>
      <c r="D209" s="164"/>
      <c r="E209" s="3" t="s">
        <v>13</v>
      </c>
      <c r="F209" s="31" t="s">
        <v>17</v>
      </c>
      <c r="G209" s="35"/>
      <c r="H209" s="57">
        <f t="shared" si="27"/>
        <v>10214.653076491491</v>
      </c>
      <c r="I209" s="57">
        <f t="shared" si="28"/>
        <v>2971.5354404338882</v>
      </c>
      <c r="J209" s="58">
        <f t="shared" si="29"/>
        <v>59.430708808677764</v>
      </c>
      <c r="K209" s="3"/>
      <c r="L209" s="42"/>
      <c r="U209" s="119" t="str" cm="1">
        <f t="array" ref="U209">IF(C209="",INDEX(C202:C209,MATCH(TRUE,INDEX((C202:C209&lt;&gt;""),0),0)),C209)</f>
        <v>BOS Chablis</v>
      </c>
      <c r="V209" s="120">
        <f t="shared" ref="V209:V276" si="33">MIN(Y209/21388,1.3)</f>
        <v>0.92860482513559006</v>
      </c>
      <c r="W209" s="120">
        <v>20000</v>
      </c>
      <c r="X209" s="120"/>
      <c r="Y209" s="120">
        <f t="shared" si="32"/>
        <v>19861</v>
      </c>
      <c r="Z209" s="121"/>
    </row>
    <row r="210" spans="1:26" ht="25" customHeight="1" outlineLevel="1" x14ac:dyDescent="0.35">
      <c r="B210" s="164"/>
      <c r="C210" s="164"/>
      <c r="D210" s="164"/>
      <c r="E210" s="3" t="s">
        <v>109</v>
      </c>
      <c r="F210" s="31" t="s">
        <v>21</v>
      </c>
      <c r="G210" s="35"/>
      <c r="H210" s="57" t="str">
        <f t="shared" si="27"/>
        <v/>
      </c>
      <c r="I210" s="57" t="str">
        <f t="shared" si="28"/>
        <v/>
      </c>
      <c r="J210" s="58" t="str">
        <f t="shared" si="29"/>
        <v/>
      </c>
      <c r="K210" s="3"/>
      <c r="L210" s="42"/>
      <c r="U210" s="119" t="str" cm="1">
        <f t="array" ref="U210">IF(C210="",INDEX(C203:C210,MATCH(TRUE,INDEX((C203:C210&lt;&gt;""),0),0)),C210)</f>
        <v>BOS Chablis</v>
      </c>
      <c r="V210" s="120">
        <f t="shared" si="33"/>
        <v>0.92860482513559006</v>
      </c>
      <c r="W210" s="120">
        <v>20000</v>
      </c>
      <c r="X210" s="120"/>
      <c r="Y210" s="120">
        <f t="shared" si="32"/>
        <v>19861</v>
      </c>
      <c r="Z210" s="121"/>
    </row>
    <row r="211" spans="1:26" ht="25" customHeight="1" outlineLevel="1" x14ac:dyDescent="0.35">
      <c r="B211" s="164"/>
      <c r="C211" s="164"/>
      <c r="D211" s="164"/>
      <c r="E211" s="3" t="s">
        <v>110</v>
      </c>
      <c r="F211" s="31" t="s">
        <v>21</v>
      </c>
      <c r="G211" s="35"/>
      <c r="H211" s="57" t="str">
        <f t="shared" si="27"/>
        <v/>
      </c>
      <c r="I211" s="57" t="str">
        <f t="shared" si="28"/>
        <v/>
      </c>
      <c r="J211" s="58" t="str">
        <f t="shared" si="29"/>
        <v/>
      </c>
      <c r="K211" s="3"/>
      <c r="L211" s="42"/>
      <c r="U211" s="119" t="str" cm="1">
        <f t="array" ref="U211">IF(C211="",INDEX(C204:C211,MATCH(TRUE,INDEX((C204:C211&lt;&gt;""),0),0)),C211)</f>
        <v>BOS Chablis</v>
      </c>
      <c r="V211" s="120">
        <f t="shared" si="33"/>
        <v>0.92860482513559006</v>
      </c>
      <c r="W211" s="120">
        <v>20000</v>
      </c>
      <c r="X211" s="120"/>
      <c r="Y211" s="120">
        <f t="shared" si="32"/>
        <v>19861</v>
      </c>
      <c r="Z211" s="121"/>
    </row>
    <row r="212" spans="1:26" ht="25" customHeight="1" outlineLevel="1" x14ac:dyDescent="0.35">
      <c r="B212" s="164"/>
      <c r="C212" s="164"/>
      <c r="D212" s="164"/>
      <c r="E212" s="3" t="s">
        <v>106</v>
      </c>
      <c r="F212" s="31" t="s">
        <v>21</v>
      </c>
      <c r="G212" s="35"/>
      <c r="H212" s="57" t="str">
        <f t="shared" si="27"/>
        <v/>
      </c>
      <c r="I212" s="57" t="str">
        <f t="shared" si="28"/>
        <v/>
      </c>
      <c r="J212" s="58" t="str">
        <f t="shared" si="29"/>
        <v/>
      </c>
      <c r="K212" s="3"/>
      <c r="L212" s="42" t="s">
        <v>269</v>
      </c>
      <c r="U212" s="119" t="str" cm="1">
        <f t="array" ref="U212">IF(C212="",INDEX(C206:C212,MATCH(TRUE,INDEX((C206:C212&lt;&gt;""),0),0)),C212)</f>
        <v>BOS Chablis</v>
      </c>
      <c r="V212" s="120">
        <f t="shared" si="33"/>
        <v>0.92860482513559006</v>
      </c>
      <c r="W212" s="120">
        <v>20000</v>
      </c>
      <c r="X212" s="120"/>
      <c r="Y212" s="120">
        <f t="shared" si="32"/>
        <v>19861</v>
      </c>
      <c r="Z212" s="121"/>
    </row>
    <row r="213" spans="1:26" ht="25" customHeight="1" outlineLevel="1" x14ac:dyDescent="0.35">
      <c r="B213" s="165"/>
      <c r="C213" s="165"/>
      <c r="D213" s="165"/>
      <c r="E213" s="4" t="s">
        <v>14</v>
      </c>
      <c r="F213" s="31" t="s">
        <v>17</v>
      </c>
      <c r="G213" s="39"/>
      <c r="H213" s="65">
        <f t="shared" si="27"/>
        <v>1392.9072377033851</v>
      </c>
      <c r="I213" s="65">
        <f t="shared" si="28"/>
        <v>5757.3499158406585</v>
      </c>
      <c r="J213" s="66">
        <f t="shared" si="29"/>
        <v>7.4288386010847205</v>
      </c>
      <c r="K213" s="4"/>
      <c r="L213" s="43"/>
      <c r="U213" s="119" t="str" cm="1">
        <f t="array" ref="U213">IF(C213="",INDEX(C207:C213,MATCH(TRUE,INDEX((C207:C213&lt;&gt;""),0),0)),C213)</f>
        <v>BOS Chablis</v>
      </c>
      <c r="V213" s="120">
        <f t="shared" si="33"/>
        <v>0.92860482513559006</v>
      </c>
      <c r="W213" s="120">
        <v>20000</v>
      </c>
      <c r="X213" s="120"/>
      <c r="Y213" s="120">
        <f t="shared" si="32"/>
        <v>19861</v>
      </c>
      <c r="Z213" s="121"/>
    </row>
    <row r="214" spans="1:26" ht="30" customHeight="1" x14ac:dyDescent="0.35">
      <c r="A214" s="8" t="s">
        <v>133</v>
      </c>
      <c r="B214" s="160">
        <v>36</v>
      </c>
      <c r="C214" s="160" t="s">
        <v>60</v>
      </c>
      <c r="D214" s="160" t="s">
        <v>59</v>
      </c>
      <c r="E214" s="27" t="s">
        <v>102</v>
      </c>
      <c r="F214" s="32"/>
      <c r="G214" s="37"/>
      <c r="H214" s="61" t="str">
        <f t="shared" si="27"/>
        <v/>
      </c>
      <c r="I214" s="61" t="str">
        <f t="shared" si="28"/>
        <v/>
      </c>
      <c r="J214" s="62" t="str">
        <f t="shared" si="29"/>
        <v/>
      </c>
      <c r="K214" s="6"/>
      <c r="L214" s="44"/>
      <c r="U214" s="119" t="str" cm="1">
        <f t="array" ref="U214">IF(C214="",INDEX(C208:C214,MATCH(TRUE,INDEX((C208:C214&lt;&gt;""),0),0)),C214)</f>
        <v>BOS Champagne</v>
      </c>
      <c r="V214" s="120">
        <f t="shared" si="33"/>
        <v>0.92860482513559006</v>
      </c>
      <c r="W214" s="120">
        <v>20000</v>
      </c>
      <c r="X214" s="120"/>
      <c r="Y214" s="120">
        <f t="shared" si="32"/>
        <v>19861</v>
      </c>
      <c r="Z214" s="121"/>
    </row>
    <row r="215" spans="1:26" ht="25" customHeight="1" outlineLevel="1" x14ac:dyDescent="0.35">
      <c r="B215" s="161"/>
      <c r="C215" s="161"/>
      <c r="D215" s="161"/>
      <c r="E215" s="6" t="s">
        <v>13</v>
      </c>
      <c r="F215" s="32" t="s">
        <v>17</v>
      </c>
      <c r="G215" s="37"/>
      <c r="H215" s="61">
        <f t="shared" si="27"/>
        <v>10214.653076491491</v>
      </c>
      <c r="I215" s="61">
        <f t="shared" si="28"/>
        <v>2971.5354404338882</v>
      </c>
      <c r="J215" s="62">
        <f t="shared" si="29"/>
        <v>59.430708808677764</v>
      </c>
      <c r="K215" s="6"/>
      <c r="L215" s="45"/>
      <c r="U215" s="119" t="str" cm="1">
        <f t="array" ref="U215">IF(C215="",INDEX(C209:C215,MATCH(TRUE,INDEX((C209:C215&lt;&gt;""),0),0)),C215)</f>
        <v>BOS Champagne</v>
      </c>
      <c r="V215" s="120">
        <f t="shared" si="33"/>
        <v>0.92860482513559006</v>
      </c>
      <c r="W215" s="120">
        <v>20000</v>
      </c>
      <c r="X215" s="120"/>
      <c r="Y215" s="120">
        <f t="shared" si="32"/>
        <v>19861</v>
      </c>
      <c r="Z215" s="121"/>
    </row>
    <row r="216" spans="1:26" ht="25" customHeight="1" outlineLevel="1" x14ac:dyDescent="0.35">
      <c r="B216" s="161"/>
      <c r="C216" s="161"/>
      <c r="D216" s="161"/>
      <c r="E216" s="6" t="s">
        <v>110</v>
      </c>
      <c r="F216" s="32" t="s">
        <v>21</v>
      </c>
      <c r="G216" s="37"/>
      <c r="H216" s="61" t="str">
        <f t="shared" si="27"/>
        <v/>
      </c>
      <c r="I216" s="61" t="str">
        <f t="shared" si="28"/>
        <v/>
      </c>
      <c r="J216" s="62" t="str">
        <f t="shared" si="29"/>
        <v/>
      </c>
      <c r="K216" s="6"/>
      <c r="L216" s="45"/>
      <c r="U216" s="119" t="str" cm="1">
        <f t="array" ref="U216">IF(C216="",INDEX(C210:C216,MATCH(TRUE,INDEX((C210:C216&lt;&gt;""),0),0)),C216)</f>
        <v>BOS Champagne</v>
      </c>
      <c r="V216" s="120">
        <f t="shared" si="33"/>
        <v>0.92860482513559006</v>
      </c>
      <c r="W216" s="120">
        <v>20000</v>
      </c>
      <c r="X216" s="120"/>
      <c r="Y216" s="120">
        <f t="shared" si="32"/>
        <v>19861</v>
      </c>
      <c r="Z216" s="121"/>
    </row>
    <row r="217" spans="1:26" ht="25" customHeight="1" outlineLevel="1" x14ac:dyDescent="0.35">
      <c r="B217" s="161"/>
      <c r="C217" s="161"/>
      <c r="D217" s="161"/>
      <c r="E217" s="6" t="s">
        <v>109</v>
      </c>
      <c r="F217" s="32" t="s">
        <v>21</v>
      </c>
      <c r="G217" s="37"/>
      <c r="H217" s="61" t="str">
        <f t="shared" si="27"/>
        <v/>
      </c>
      <c r="I217" s="61" t="str">
        <f t="shared" si="28"/>
        <v/>
      </c>
      <c r="J217" s="62" t="str">
        <f t="shared" si="29"/>
        <v/>
      </c>
      <c r="K217" s="6"/>
      <c r="L217" s="45"/>
      <c r="U217" s="119" t="str" cm="1">
        <f t="array" ref="U217">IF(C217="",INDEX(C211:C217,MATCH(TRUE,INDEX((C211:C217&lt;&gt;""),0),0)),C217)</f>
        <v>BOS Champagne</v>
      </c>
      <c r="V217" s="120">
        <f t="shared" si="33"/>
        <v>0.92860482513559006</v>
      </c>
      <c r="W217" s="120">
        <v>20000</v>
      </c>
      <c r="X217" s="120"/>
      <c r="Y217" s="120">
        <f t="shared" si="32"/>
        <v>19861</v>
      </c>
      <c r="Z217" s="121"/>
    </row>
    <row r="218" spans="1:26" ht="25" customHeight="1" outlineLevel="1" x14ac:dyDescent="0.35">
      <c r="B218" s="161"/>
      <c r="C218" s="161"/>
      <c r="D218" s="161"/>
      <c r="E218" s="6" t="s">
        <v>106</v>
      </c>
      <c r="F218" s="32" t="s">
        <v>21</v>
      </c>
      <c r="G218" s="37"/>
      <c r="H218" s="61" t="str">
        <f t="shared" si="27"/>
        <v/>
      </c>
      <c r="I218" s="61" t="str">
        <f t="shared" si="28"/>
        <v/>
      </c>
      <c r="J218" s="62" t="str">
        <f t="shared" si="29"/>
        <v/>
      </c>
      <c r="K218" s="6"/>
      <c r="L218" s="45"/>
      <c r="U218" s="119" t="str" cm="1">
        <f t="array" ref="U218">IF(C218="",INDEX(C212:C218,MATCH(TRUE,INDEX((C212:C218&lt;&gt;""),0),0)),C218)</f>
        <v>BOS Champagne</v>
      </c>
      <c r="V218" s="120">
        <f t="shared" si="33"/>
        <v>0.92860482513559006</v>
      </c>
      <c r="W218" s="120">
        <v>20000</v>
      </c>
      <c r="X218" s="120"/>
      <c r="Y218" s="120">
        <f t="shared" si="32"/>
        <v>19861</v>
      </c>
      <c r="Z218" s="121"/>
    </row>
    <row r="219" spans="1:26" ht="25" customHeight="1" outlineLevel="1" x14ac:dyDescent="0.35">
      <c r="B219" s="162"/>
      <c r="C219" s="162"/>
      <c r="D219" s="162"/>
      <c r="E219" s="7" t="s">
        <v>14</v>
      </c>
      <c r="F219" s="32" t="s">
        <v>17</v>
      </c>
      <c r="G219" s="37"/>
      <c r="H219" s="61">
        <f t="shared" si="27"/>
        <v>1392.9072377033851</v>
      </c>
      <c r="I219" s="61">
        <f t="shared" si="28"/>
        <v>5757.3499158406585</v>
      </c>
      <c r="J219" s="62">
        <f t="shared" si="29"/>
        <v>7.4288386010847205</v>
      </c>
      <c r="K219" s="6"/>
      <c r="L219" s="46"/>
      <c r="U219" s="119" t="str" cm="1">
        <f t="array" ref="U219">IF(C219="",INDEX(C213:C219,MATCH(TRUE,INDEX((C213:C219&lt;&gt;""),0),0)),C219)</f>
        <v>BOS Champagne</v>
      </c>
      <c r="V219" s="120">
        <f t="shared" si="33"/>
        <v>0.92860482513559006</v>
      </c>
      <c r="W219" s="120">
        <v>20000</v>
      </c>
      <c r="X219" s="120"/>
      <c r="Y219" s="120">
        <f t="shared" si="32"/>
        <v>19861</v>
      </c>
      <c r="Z219" s="121"/>
    </row>
    <row r="220" spans="1:26" ht="30" customHeight="1" x14ac:dyDescent="0.35">
      <c r="A220" s="8" t="s">
        <v>133</v>
      </c>
      <c r="B220" s="163">
        <v>37</v>
      </c>
      <c r="C220" s="163" t="s">
        <v>61</v>
      </c>
      <c r="D220" s="163" t="s">
        <v>62</v>
      </c>
      <c r="E220" s="26" t="s">
        <v>102</v>
      </c>
      <c r="F220" s="31"/>
      <c r="G220" s="34"/>
      <c r="H220" s="55" t="str">
        <f t="shared" si="27"/>
        <v/>
      </c>
      <c r="I220" s="55" t="str">
        <f t="shared" si="28"/>
        <v/>
      </c>
      <c r="J220" s="56" t="str">
        <f t="shared" si="29"/>
        <v/>
      </c>
      <c r="K220" s="2"/>
      <c r="L220" s="41"/>
      <c r="U220" s="119" t="str" cm="1">
        <f t="array" ref="U220">IF(C220="",INDEX(C214:C220,MATCH(TRUE,INDEX((C214:C220&lt;&gt;""),0),0)),C220)</f>
        <v>BOS Hestia</v>
      </c>
      <c r="V220" s="120">
        <f t="shared" si="33"/>
        <v>0.73573966710304839</v>
      </c>
      <c r="W220" s="120">
        <v>18000</v>
      </c>
      <c r="X220" s="120"/>
      <c r="Y220" s="120">
        <f t="shared" si="32"/>
        <v>15736</v>
      </c>
      <c r="Z220" s="121"/>
    </row>
    <row r="221" spans="1:26" ht="25" customHeight="1" outlineLevel="1" x14ac:dyDescent="0.35">
      <c r="B221" s="164"/>
      <c r="C221" s="164"/>
      <c r="D221" s="164"/>
      <c r="E221" s="3" t="s">
        <v>13</v>
      </c>
      <c r="F221" s="31" t="s">
        <v>17</v>
      </c>
      <c r="G221" s="35"/>
      <c r="H221" s="57">
        <f t="shared" si="27"/>
        <v>8093.1363381335323</v>
      </c>
      <c r="I221" s="57">
        <f t="shared" si="28"/>
        <v>2354.366934729755</v>
      </c>
      <c r="J221" s="58">
        <f t="shared" si="29"/>
        <v>47.087338694595097</v>
      </c>
      <c r="K221" s="3"/>
      <c r="L221" s="42" t="s">
        <v>264</v>
      </c>
      <c r="U221" s="119" t="str" cm="1">
        <f t="array" ref="U221">IF(C221="",INDEX(C215:C221,MATCH(TRUE,INDEX((C215:C221&lt;&gt;""),0),0)),C221)</f>
        <v>BOS Hestia</v>
      </c>
      <c r="V221" s="120">
        <f t="shared" si="33"/>
        <v>0.73573966710304839</v>
      </c>
      <c r="W221" s="120">
        <v>18000</v>
      </c>
      <c r="X221" s="120"/>
      <c r="Y221" s="120">
        <f t="shared" si="32"/>
        <v>15736</v>
      </c>
      <c r="Z221" s="121"/>
    </row>
    <row r="222" spans="1:26" ht="25" customHeight="1" outlineLevel="1" x14ac:dyDescent="0.35">
      <c r="B222" s="164"/>
      <c r="C222" s="164"/>
      <c r="D222" s="164"/>
      <c r="E222" s="3" t="s">
        <v>110</v>
      </c>
      <c r="F222" s="31" t="s">
        <v>21</v>
      </c>
      <c r="G222" s="35"/>
      <c r="H222" s="57" t="str">
        <f t="shared" si="27"/>
        <v/>
      </c>
      <c r="I222" s="57" t="str">
        <f t="shared" si="28"/>
        <v/>
      </c>
      <c r="J222" s="58" t="str">
        <f t="shared" si="29"/>
        <v/>
      </c>
      <c r="K222" s="3"/>
      <c r="L222" s="42"/>
      <c r="U222" s="119" t="str" cm="1">
        <f t="array" ref="U222">IF(C222="",INDEX(C216:C222,MATCH(TRUE,INDEX((C216:C222&lt;&gt;""),0),0)),C222)</f>
        <v>BOS Hestia</v>
      </c>
      <c r="V222" s="120">
        <f t="shared" si="33"/>
        <v>0.73573966710304839</v>
      </c>
      <c r="W222" s="120">
        <v>18000</v>
      </c>
      <c r="X222" s="120"/>
      <c r="Y222" s="120">
        <f t="shared" si="32"/>
        <v>15736</v>
      </c>
      <c r="Z222" s="121"/>
    </row>
    <row r="223" spans="1:26" ht="25" customHeight="1" outlineLevel="1" x14ac:dyDescent="0.35">
      <c r="B223" s="164"/>
      <c r="C223" s="164"/>
      <c r="D223" s="164"/>
      <c r="E223" s="3" t="s">
        <v>109</v>
      </c>
      <c r="F223" s="31" t="s">
        <v>21</v>
      </c>
      <c r="G223" s="35"/>
      <c r="H223" s="57" t="str">
        <f t="shared" si="27"/>
        <v/>
      </c>
      <c r="I223" s="57" t="str">
        <f t="shared" si="28"/>
        <v/>
      </c>
      <c r="J223" s="58" t="str">
        <f t="shared" si="29"/>
        <v/>
      </c>
      <c r="K223" s="3"/>
      <c r="L223" s="42" t="s">
        <v>265</v>
      </c>
      <c r="U223" s="119" t="str" cm="1">
        <f t="array" ref="U223">IF(C223="",INDEX(C217:C223,MATCH(TRUE,INDEX((C217:C223&lt;&gt;""),0),0)),C223)</f>
        <v>BOS Hestia</v>
      </c>
      <c r="V223" s="120">
        <f t="shared" si="33"/>
        <v>0.73573966710304839</v>
      </c>
      <c r="W223" s="120">
        <v>18000</v>
      </c>
      <c r="X223" s="120"/>
      <c r="Y223" s="120">
        <f t="shared" si="32"/>
        <v>15736</v>
      </c>
      <c r="Z223" s="121"/>
    </row>
    <row r="224" spans="1:26" ht="25" customHeight="1" outlineLevel="1" x14ac:dyDescent="0.35">
      <c r="B224" s="164"/>
      <c r="C224" s="164"/>
      <c r="D224" s="164"/>
      <c r="E224" s="3" t="s">
        <v>106</v>
      </c>
      <c r="F224" s="31" t="s">
        <v>17</v>
      </c>
      <c r="G224" s="35"/>
      <c r="H224" s="57">
        <f t="shared" si="27"/>
        <v>6106.6392369553014</v>
      </c>
      <c r="I224" s="57">
        <f t="shared" si="28"/>
        <v>2942.9586684121937</v>
      </c>
      <c r="J224" s="58">
        <f t="shared" si="29"/>
        <v>62.537871703759116</v>
      </c>
      <c r="K224" s="3"/>
      <c r="L224" s="42" t="s">
        <v>266</v>
      </c>
      <c r="U224" s="119" t="str" cm="1">
        <f t="array" ref="U224">IF(C224="",INDEX(C218:C224,MATCH(TRUE,INDEX((C218:C224&lt;&gt;""),0),0)),C224)</f>
        <v>BOS Hestia</v>
      </c>
      <c r="V224" s="120">
        <f t="shared" si="33"/>
        <v>0.73573966710304839</v>
      </c>
      <c r="W224" s="120">
        <v>18000</v>
      </c>
      <c r="X224" s="120"/>
      <c r="Y224" s="120">
        <f t="shared" si="32"/>
        <v>15736</v>
      </c>
      <c r="Z224" s="121"/>
    </row>
    <row r="225" spans="1:26" ht="25" customHeight="1" outlineLevel="1" x14ac:dyDescent="0.35">
      <c r="B225" s="165"/>
      <c r="C225" s="165"/>
      <c r="D225" s="165"/>
      <c r="E225" s="4" t="s">
        <v>14</v>
      </c>
      <c r="F225" s="31" t="s">
        <v>32</v>
      </c>
      <c r="G225" s="39"/>
      <c r="H225" s="65" t="str">
        <f t="shared" si="27"/>
        <v/>
      </c>
      <c r="I225" s="65" t="str">
        <f t="shared" si="28"/>
        <v/>
      </c>
      <c r="J225" s="66" t="str">
        <f t="shared" si="29"/>
        <v/>
      </c>
      <c r="K225" s="4"/>
      <c r="L225" s="43"/>
      <c r="U225" s="119" t="str" cm="1">
        <f t="array" ref="U225">IF(C225="",INDEX(C219:C225,MATCH(TRUE,INDEX((C219:C225&lt;&gt;""),0),0)),C225)</f>
        <v>BOS Hestia</v>
      </c>
      <c r="V225" s="120">
        <f t="shared" si="33"/>
        <v>0.73573966710304839</v>
      </c>
      <c r="W225" s="120">
        <v>18000</v>
      </c>
      <c r="X225" s="120"/>
      <c r="Y225" s="120">
        <f t="shared" si="32"/>
        <v>15736</v>
      </c>
      <c r="Z225" s="121"/>
    </row>
    <row r="226" spans="1:26" ht="30" customHeight="1" x14ac:dyDescent="0.35">
      <c r="A226" s="8" t="s">
        <v>133</v>
      </c>
      <c r="B226" s="160">
        <v>38</v>
      </c>
      <c r="C226" s="160" t="s">
        <v>63</v>
      </c>
      <c r="D226" s="160" t="s">
        <v>64</v>
      </c>
      <c r="E226" s="27" t="s">
        <v>102</v>
      </c>
      <c r="F226" s="32"/>
      <c r="G226" s="37"/>
      <c r="H226" s="61" t="str">
        <f t="shared" si="27"/>
        <v/>
      </c>
      <c r="I226" s="61" t="str">
        <f t="shared" si="28"/>
        <v/>
      </c>
      <c r="J226" s="62" t="str">
        <f t="shared" si="29"/>
        <v/>
      </c>
      <c r="K226" s="6"/>
      <c r="L226" s="44"/>
      <c r="U226" s="119" t="str" cm="1">
        <f t="array" ref="U226">IF(C226="",INDEX(C220:C226,MATCH(TRUE,INDEX((C220:C226&lt;&gt;""),0),0)),C226)</f>
        <v>BOS Tethys</v>
      </c>
      <c r="V226" s="120">
        <f t="shared" si="33"/>
        <v>0.73573966710304839</v>
      </c>
      <c r="W226" s="120">
        <v>18000</v>
      </c>
      <c r="X226" s="120"/>
      <c r="Y226" s="120">
        <f t="shared" si="32"/>
        <v>15736</v>
      </c>
      <c r="Z226" s="121"/>
    </row>
    <row r="227" spans="1:26" ht="25" customHeight="1" outlineLevel="1" x14ac:dyDescent="0.35">
      <c r="B227" s="161"/>
      <c r="C227" s="161"/>
      <c r="D227" s="161"/>
      <c r="E227" s="6" t="s">
        <v>13</v>
      </c>
      <c r="F227" s="32" t="s">
        <v>17</v>
      </c>
      <c r="G227" s="37"/>
      <c r="H227" s="61">
        <f t="shared" si="27"/>
        <v>8093.1363381335323</v>
      </c>
      <c r="I227" s="61">
        <f t="shared" si="28"/>
        <v>2354.366934729755</v>
      </c>
      <c r="J227" s="62">
        <f t="shared" si="29"/>
        <v>47.087338694595097</v>
      </c>
      <c r="K227" s="6"/>
      <c r="L227" s="45" t="s">
        <v>262</v>
      </c>
      <c r="U227" s="119" t="str" cm="1">
        <f t="array" ref="U227">IF(C227="",INDEX(C221:C227,MATCH(TRUE,INDEX((C221:C227&lt;&gt;""),0),0)),C227)</f>
        <v>BOS Tethys</v>
      </c>
      <c r="V227" s="120">
        <f t="shared" si="33"/>
        <v>0.73573966710304839</v>
      </c>
      <c r="W227" s="120">
        <v>18000</v>
      </c>
      <c r="X227" s="120"/>
      <c r="Y227" s="120">
        <f t="shared" si="32"/>
        <v>15736</v>
      </c>
      <c r="Z227" s="121"/>
    </row>
    <row r="228" spans="1:26" ht="25" customHeight="1" outlineLevel="1" x14ac:dyDescent="0.35">
      <c r="B228" s="161"/>
      <c r="C228" s="161"/>
      <c r="D228" s="161"/>
      <c r="E228" s="6" t="s">
        <v>110</v>
      </c>
      <c r="F228" s="32" t="s">
        <v>21</v>
      </c>
      <c r="G228" s="37"/>
      <c r="H228" s="61" t="str">
        <f t="shared" si="27"/>
        <v/>
      </c>
      <c r="I228" s="61" t="str">
        <f t="shared" si="28"/>
        <v/>
      </c>
      <c r="J228" s="62" t="str">
        <f t="shared" si="29"/>
        <v/>
      </c>
      <c r="K228" s="6"/>
      <c r="L228" s="45"/>
      <c r="U228" s="119" t="str" cm="1">
        <f t="array" ref="U228">IF(C228="",INDEX(C222:C228,MATCH(TRUE,INDEX((C222:C228&lt;&gt;""),0),0)),C228)</f>
        <v>BOS Tethys</v>
      </c>
      <c r="V228" s="120">
        <f t="shared" si="33"/>
        <v>0.73573966710304839</v>
      </c>
      <c r="W228" s="120">
        <v>18000</v>
      </c>
      <c r="X228" s="120"/>
      <c r="Y228" s="120">
        <f t="shared" si="32"/>
        <v>15736</v>
      </c>
      <c r="Z228" s="121"/>
    </row>
    <row r="229" spans="1:26" ht="25" customHeight="1" outlineLevel="1" x14ac:dyDescent="0.35">
      <c r="B229" s="161"/>
      <c r="C229" s="161"/>
      <c r="D229" s="161"/>
      <c r="E229" s="6" t="s">
        <v>109</v>
      </c>
      <c r="F229" s="32" t="s">
        <v>21</v>
      </c>
      <c r="G229" s="37"/>
      <c r="H229" s="61" t="str">
        <f t="shared" si="27"/>
        <v/>
      </c>
      <c r="I229" s="61" t="str">
        <f t="shared" si="28"/>
        <v/>
      </c>
      <c r="J229" s="62" t="str">
        <f t="shared" si="29"/>
        <v/>
      </c>
      <c r="K229" s="6"/>
      <c r="L229" s="45" t="s">
        <v>263</v>
      </c>
      <c r="U229" s="119" t="str" cm="1">
        <f t="array" ref="U229">IF(C229="",INDEX(C223:C229,MATCH(TRUE,INDEX((C223:C229&lt;&gt;""),0),0)),C229)</f>
        <v>BOS Tethys</v>
      </c>
      <c r="V229" s="120">
        <f t="shared" si="33"/>
        <v>0.73573966710304839</v>
      </c>
      <c r="W229" s="120">
        <v>18000</v>
      </c>
      <c r="X229" s="120"/>
      <c r="Y229" s="120">
        <f t="shared" si="32"/>
        <v>15736</v>
      </c>
      <c r="Z229" s="121"/>
    </row>
    <row r="230" spans="1:26" ht="25" customHeight="1" outlineLevel="1" x14ac:dyDescent="0.35">
      <c r="B230" s="161"/>
      <c r="C230" s="161"/>
      <c r="D230" s="161"/>
      <c r="E230" s="6" t="s">
        <v>106</v>
      </c>
      <c r="F230" s="32" t="s">
        <v>17</v>
      </c>
      <c r="G230" s="37"/>
      <c r="H230" s="61">
        <f t="shared" si="27"/>
        <v>6106.6392369553014</v>
      </c>
      <c r="I230" s="61">
        <f t="shared" si="28"/>
        <v>2942.9586684121937</v>
      </c>
      <c r="J230" s="62">
        <f t="shared" si="29"/>
        <v>62.537871703759116</v>
      </c>
      <c r="K230" s="6"/>
      <c r="L230" s="45"/>
      <c r="U230" s="119" t="str" cm="1">
        <f t="array" ref="U230">IF(C230="",INDEX(C224:C230,MATCH(TRUE,INDEX((C224:C230&lt;&gt;""),0),0)),C230)</f>
        <v>BOS Tethys</v>
      </c>
      <c r="V230" s="120">
        <f t="shared" si="33"/>
        <v>0.73573966710304839</v>
      </c>
      <c r="W230" s="120">
        <v>18000</v>
      </c>
      <c r="X230" s="120"/>
      <c r="Y230" s="120">
        <f t="shared" si="32"/>
        <v>15736</v>
      </c>
      <c r="Z230" s="121"/>
    </row>
    <row r="231" spans="1:26" ht="25" customHeight="1" outlineLevel="1" x14ac:dyDescent="0.35">
      <c r="B231" s="162"/>
      <c r="C231" s="162"/>
      <c r="D231" s="162"/>
      <c r="E231" s="7" t="s">
        <v>14</v>
      </c>
      <c r="F231" s="32" t="s">
        <v>32</v>
      </c>
      <c r="G231" s="37"/>
      <c r="H231" s="61" t="str">
        <f t="shared" si="27"/>
        <v/>
      </c>
      <c r="I231" s="61" t="str">
        <f t="shared" si="28"/>
        <v/>
      </c>
      <c r="J231" s="62" t="str">
        <f t="shared" si="29"/>
        <v/>
      </c>
      <c r="K231" s="6"/>
      <c r="L231" s="46"/>
      <c r="U231" s="119" t="str" cm="1">
        <f t="array" ref="U231">IF(C231="",INDEX(C225:C231,MATCH(TRUE,INDEX((C225:C231&lt;&gt;""),0),0)),C231)</f>
        <v>BOS Tethys</v>
      </c>
      <c r="V231" s="120">
        <f t="shared" si="33"/>
        <v>0.73573966710304839</v>
      </c>
      <c r="W231" s="120">
        <v>18000</v>
      </c>
      <c r="X231" s="120"/>
      <c r="Y231" s="120">
        <f t="shared" si="32"/>
        <v>15736</v>
      </c>
      <c r="Z231" s="121"/>
    </row>
    <row r="232" spans="1:26" ht="30" customHeight="1" x14ac:dyDescent="0.35">
      <c r="A232" s="8" t="s">
        <v>133</v>
      </c>
      <c r="B232" s="163">
        <v>39</v>
      </c>
      <c r="C232" s="163" t="s">
        <v>65</v>
      </c>
      <c r="D232" s="163" t="s">
        <v>64</v>
      </c>
      <c r="E232" s="26" t="s">
        <v>102</v>
      </c>
      <c r="F232" s="31"/>
      <c r="G232" s="34"/>
      <c r="H232" s="55" t="str">
        <f t="shared" si="27"/>
        <v/>
      </c>
      <c r="I232" s="55" t="str">
        <f t="shared" si="28"/>
        <v/>
      </c>
      <c r="J232" s="56" t="str">
        <f t="shared" si="29"/>
        <v/>
      </c>
      <c r="K232" s="2"/>
      <c r="L232" s="41"/>
      <c r="U232" s="119" t="str" cm="1">
        <f t="array" ref="U232">IF(C232="",INDEX(C226:C232,MATCH(TRUE,INDEX((C226:C232&lt;&gt;""),0),0)),C232)</f>
        <v>BOS Thalassa</v>
      </c>
      <c r="V232" s="120">
        <f t="shared" si="33"/>
        <v>0.73573966710304839</v>
      </c>
      <c r="W232" s="120">
        <v>18000</v>
      </c>
      <c r="X232" s="120"/>
      <c r="Y232" s="120">
        <f t="shared" si="32"/>
        <v>15736</v>
      </c>
      <c r="Z232" s="121"/>
    </row>
    <row r="233" spans="1:26" ht="25" customHeight="1" outlineLevel="1" x14ac:dyDescent="0.35">
      <c r="B233" s="164"/>
      <c r="C233" s="164"/>
      <c r="D233" s="164"/>
      <c r="E233" s="3" t="s">
        <v>13</v>
      </c>
      <c r="F233" s="31" t="s">
        <v>17</v>
      </c>
      <c r="G233" s="35"/>
      <c r="H233" s="57">
        <f t="shared" si="27"/>
        <v>8093.1363381335323</v>
      </c>
      <c r="I233" s="57">
        <f t="shared" si="28"/>
        <v>2354.366934729755</v>
      </c>
      <c r="J233" s="58">
        <f t="shared" si="29"/>
        <v>47.087338694595097</v>
      </c>
      <c r="K233" s="3"/>
      <c r="L233" s="42"/>
      <c r="U233" s="119" t="str" cm="1">
        <f t="array" ref="U233">IF(C233="",INDEX(C227:C233,MATCH(TRUE,INDEX((C227:C233&lt;&gt;""),0),0)),C233)</f>
        <v>BOS Thalassa</v>
      </c>
      <c r="V233" s="120">
        <f t="shared" si="33"/>
        <v>0.73573966710304839</v>
      </c>
      <c r="W233" s="120">
        <v>18000</v>
      </c>
      <c r="X233" s="120"/>
      <c r="Y233" s="120">
        <f t="shared" si="32"/>
        <v>15736</v>
      </c>
      <c r="Z233" s="121"/>
    </row>
    <row r="234" spans="1:26" ht="25" customHeight="1" outlineLevel="1" x14ac:dyDescent="0.35">
      <c r="B234" s="164"/>
      <c r="C234" s="164"/>
      <c r="D234" s="164"/>
      <c r="E234" s="3" t="s">
        <v>110</v>
      </c>
      <c r="F234" s="31" t="s">
        <v>21</v>
      </c>
      <c r="G234" s="35"/>
      <c r="H234" s="57" t="str">
        <f t="shared" si="27"/>
        <v/>
      </c>
      <c r="I234" s="57" t="str">
        <f t="shared" si="28"/>
        <v/>
      </c>
      <c r="J234" s="58" t="str">
        <f t="shared" si="29"/>
        <v/>
      </c>
      <c r="K234" s="3"/>
      <c r="L234" s="42"/>
      <c r="U234" s="119" t="str" cm="1">
        <f t="array" ref="U234">IF(C234="",INDEX(C228:C234,MATCH(TRUE,INDEX((C228:C234&lt;&gt;""),0),0)),C234)</f>
        <v>BOS Thalassa</v>
      </c>
      <c r="V234" s="120">
        <f t="shared" si="33"/>
        <v>0.73573966710304839</v>
      </c>
      <c r="W234" s="120">
        <v>18000</v>
      </c>
      <c r="X234" s="120"/>
      <c r="Y234" s="120">
        <f t="shared" si="32"/>
        <v>15736</v>
      </c>
      <c r="Z234" s="121"/>
    </row>
    <row r="235" spans="1:26" ht="25" customHeight="1" outlineLevel="1" x14ac:dyDescent="0.35">
      <c r="B235" s="164"/>
      <c r="C235" s="164"/>
      <c r="D235" s="164"/>
      <c r="E235" s="3" t="s">
        <v>109</v>
      </c>
      <c r="F235" s="31" t="s">
        <v>21</v>
      </c>
      <c r="G235" s="35"/>
      <c r="H235" s="57" t="str">
        <f t="shared" si="27"/>
        <v/>
      </c>
      <c r="I235" s="57" t="str">
        <f t="shared" si="28"/>
        <v/>
      </c>
      <c r="J235" s="58" t="str">
        <f t="shared" si="29"/>
        <v/>
      </c>
      <c r="K235" s="3"/>
      <c r="L235" s="42" t="s">
        <v>135</v>
      </c>
      <c r="U235" s="119" t="str" cm="1">
        <f t="array" ref="U235">IF(C235="",INDEX(C229:C235,MATCH(TRUE,INDEX((C229:C235&lt;&gt;""),0),0)),C235)</f>
        <v>BOS Thalassa</v>
      </c>
      <c r="V235" s="120">
        <f t="shared" si="33"/>
        <v>0.73573966710304839</v>
      </c>
      <c r="W235" s="120">
        <v>18000</v>
      </c>
      <c r="X235" s="120"/>
      <c r="Y235" s="120">
        <f t="shared" si="32"/>
        <v>15736</v>
      </c>
      <c r="Z235" s="121"/>
    </row>
    <row r="236" spans="1:26" ht="25" customHeight="1" outlineLevel="1" x14ac:dyDescent="0.35">
      <c r="B236" s="164"/>
      <c r="C236" s="164"/>
      <c r="D236" s="164"/>
      <c r="E236" s="3" t="s">
        <v>310</v>
      </c>
      <c r="F236" s="31" t="s">
        <v>17</v>
      </c>
      <c r="G236" s="35"/>
      <c r="H236" s="57">
        <f t="shared" si="27"/>
        <v>7357.396671030484</v>
      </c>
      <c r="I236" s="57">
        <f t="shared" si="28"/>
        <v>0</v>
      </c>
      <c r="J236" s="58">
        <f t="shared" si="29"/>
        <v>42.672900691976807</v>
      </c>
      <c r="K236" s="3"/>
      <c r="L236" s="42"/>
      <c r="U236" s="119" t="str" cm="1">
        <f t="array" ref="U236">IF(C236="",INDEX(C230:C236,MATCH(TRUE,INDEX((C230:C236&lt;&gt;""),0),0)),C236)</f>
        <v>BOS Thalassa</v>
      </c>
      <c r="V236" s="120">
        <f t="shared" ref="V236" si="34">MIN(Y236/21388,1.3)</f>
        <v>0.73573966710304839</v>
      </c>
      <c r="W236" s="120">
        <v>18001</v>
      </c>
      <c r="X236" s="120"/>
      <c r="Y236" s="120">
        <f t="shared" ref="Y236" si="35">INT(VLOOKUP(U236, $AB$30:$AH$101, 7, FALSE))</f>
        <v>15736</v>
      </c>
      <c r="Z236" s="121"/>
    </row>
    <row r="237" spans="1:26" ht="25" customHeight="1" outlineLevel="1" x14ac:dyDescent="0.35">
      <c r="B237" s="164"/>
      <c r="C237" s="164"/>
      <c r="D237" s="164"/>
      <c r="E237" s="3" t="s">
        <v>106</v>
      </c>
      <c r="F237" s="31" t="s">
        <v>17</v>
      </c>
      <c r="G237" s="35"/>
      <c r="H237" s="57">
        <f t="shared" si="27"/>
        <v>6106.6392369553014</v>
      </c>
      <c r="I237" s="57">
        <f t="shared" si="28"/>
        <v>2942.9586684121937</v>
      </c>
      <c r="J237" s="58">
        <f t="shared" si="29"/>
        <v>62.537871703759116</v>
      </c>
      <c r="K237" s="3"/>
      <c r="L237" s="42"/>
      <c r="U237" s="119" t="str" cm="1">
        <f t="array" ref="U237">IF(C237="",INDEX(C230:C237,MATCH(TRUE,INDEX((C230:C237&lt;&gt;""),0),0)),C237)</f>
        <v>BOS Thalassa</v>
      </c>
      <c r="V237" s="120">
        <f t="shared" si="33"/>
        <v>0.73573966710304839</v>
      </c>
      <c r="W237" s="120">
        <v>18000</v>
      </c>
      <c r="X237" s="120"/>
      <c r="Y237" s="120">
        <f t="shared" si="32"/>
        <v>15736</v>
      </c>
      <c r="Z237" s="121"/>
    </row>
    <row r="238" spans="1:26" ht="25" customHeight="1" outlineLevel="1" x14ac:dyDescent="0.35">
      <c r="B238" s="165"/>
      <c r="C238" s="165"/>
      <c r="D238" s="165"/>
      <c r="E238" s="4" t="s">
        <v>14</v>
      </c>
      <c r="F238" s="31" t="s">
        <v>32</v>
      </c>
      <c r="G238" s="39"/>
      <c r="H238" s="65" t="str">
        <f t="shared" si="27"/>
        <v/>
      </c>
      <c r="I238" s="65" t="str">
        <f t="shared" si="28"/>
        <v/>
      </c>
      <c r="J238" s="66" t="str">
        <f t="shared" si="29"/>
        <v/>
      </c>
      <c r="K238" s="4"/>
      <c r="L238" s="43"/>
      <c r="U238" s="119" t="str" cm="1">
        <f t="array" ref="U238">IF(C238="",INDEX(C231:C238,MATCH(TRUE,INDEX((C231:C238&lt;&gt;""),0),0)),C238)</f>
        <v>BOS Thalassa</v>
      </c>
      <c r="V238" s="120">
        <f t="shared" si="33"/>
        <v>0.73573966710304839</v>
      </c>
      <c r="W238" s="120">
        <v>18000</v>
      </c>
      <c r="X238" s="120"/>
      <c r="Y238" s="120">
        <f t="shared" si="32"/>
        <v>15736</v>
      </c>
      <c r="Z238" s="121"/>
    </row>
    <row r="239" spans="1:26" ht="30" customHeight="1" x14ac:dyDescent="0.35">
      <c r="A239" s="8" t="s">
        <v>133</v>
      </c>
      <c r="B239" s="160">
        <v>40</v>
      </c>
      <c r="C239" s="160" t="s">
        <v>66</v>
      </c>
      <c r="D239" s="160" t="s">
        <v>136</v>
      </c>
      <c r="E239" s="27" t="s">
        <v>102</v>
      </c>
      <c r="F239" s="32"/>
      <c r="G239" s="37"/>
      <c r="H239" s="61" t="str">
        <f t="shared" si="27"/>
        <v/>
      </c>
      <c r="I239" s="61" t="str">
        <f t="shared" si="28"/>
        <v/>
      </c>
      <c r="J239" s="62" t="str">
        <f t="shared" si="29"/>
        <v/>
      </c>
      <c r="K239" s="6"/>
      <c r="L239" s="44"/>
      <c r="U239" s="119" t="str" cm="1">
        <f t="array" ref="U239">IF(C239="",INDEX(C232:C239,MATCH(TRUE,INDEX((C232:C239&lt;&gt;""),0),0)),C239)</f>
        <v>BOS Theia</v>
      </c>
      <c r="V239" s="120">
        <f t="shared" si="33"/>
        <v>0.73573966710304839</v>
      </c>
      <c r="W239" s="120">
        <v>18000</v>
      </c>
      <c r="X239" s="120"/>
      <c r="Y239" s="120">
        <f t="shared" si="32"/>
        <v>15736</v>
      </c>
      <c r="Z239" s="121"/>
    </row>
    <row r="240" spans="1:26" ht="25" customHeight="1" outlineLevel="1" x14ac:dyDescent="0.35">
      <c r="B240" s="161"/>
      <c r="C240" s="161"/>
      <c r="D240" s="161"/>
      <c r="E240" s="6" t="s">
        <v>13</v>
      </c>
      <c r="F240" s="32" t="s">
        <v>21</v>
      </c>
      <c r="G240" s="37"/>
      <c r="H240" s="61" t="str">
        <f t="shared" si="27"/>
        <v/>
      </c>
      <c r="I240" s="61" t="str">
        <f t="shared" si="28"/>
        <v/>
      </c>
      <c r="J240" s="62" t="str">
        <f t="shared" si="29"/>
        <v/>
      </c>
      <c r="K240" s="6"/>
      <c r="L240" s="45"/>
      <c r="U240" s="119" t="str" cm="1">
        <f t="array" ref="U240">IF(C240="",INDEX(C233:C240,MATCH(TRUE,INDEX((C233:C240&lt;&gt;""),0),0)),C240)</f>
        <v>BOS Theia</v>
      </c>
      <c r="V240" s="120">
        <f t="shared" si="33"/>
        <v>0.73573966710304839</v>
      </c>
      <c r="W240" s="120">
        <v>18000</v>
      </c>
      <c r="X240" s="120"/>
      <c r="Y240" s="120">
        <f t="shared" si="32"/>
        <v>15736</v>
      </c>
      <c r="Z240" s="121"/>
    </row>
    <row r="241" spans="1:26" ht="25" customHeight="1" outlineLevel="1" x14ac:dyDescent="0.35">
      <c r="B241" s="161"/>
      <c r="C241" s="161"/>
      <c r="D241" s="161"/>
      <c r="E241" s="6" t="s">
        <v>110</v>
      </c>
      <c r="F241" s="32" t="s">
        <v>21</v>
      </c>
      <c r="G241" s="37"/>
      <c r="H241" s="61" t="str">
        <f t="shared" si="27"/>
        <v/>
      </c>
      <c r="I241" s="61" t="str">
        <f t="shared" si="28"/>
        <v/>
      </c>
      <c r="J241" s="62" t="str">
        <f t="shared" si="29"/>
        <v/>
      </c>
      <c r="K241" s="6"/>
      <c r="L241" s="45"/>
      <c r="U241" s="119" t="str" cm="1">
        <f t="array" ref="U241">IF(C241="",INDEX(C234:C241,MATCH(TRUE,INDEX((C234:C241&lt;&gt;""),0),0)),C241)</f>
        <v>BOS Theia</v>
      </c>
      <c r="V241" s="120">
        <f t="shared" si="33"/>
        <v>0.73573966710304839</v>
      </c>
      <c r="W241" s="120">
        <v>18000</v>
      </c>
      <c r="X241" s="120"/>
      <c r="Y241" s="120">
        <f t="shared" si="32"/>
        <v>15736</v>
      </c>
      <c r="Z241" s="121"/>
    </row>
    <row r="242" spans="1:26" ht="25" customHeight="1" outlineLevel="1" x14ac:dyDescent="0.35">
      <c r="B242" s="161"/>
      <c r="C242" s="161"/>
      <c r="D242" s="161"/>
      <c r="E242" s="6" t="s">
        <v>109</v>
      </c>
      <c r="F242" s="32" t="s">
        <v>21</v>
      </c>
      <c r="G242" s="37"/>
      <c r="H242" s="61" t="str">
        <f t="shared" si="27"/>
        <v/>
      </c>
      <c r="I242" s="61" t="str">
        <f t="shared" si="28"/>
        <v/>
      </c>
      <c r="J242" s="62" t="str">
        <f t="shared" si="29"/>
        <v/>
      </c>
      <c r="K242" s="6"/>
      <c r="L242" s="45" t="s">
        <v>135</v>
      </c>
      <c r="U242" s="119" t="str" cm="1">
        <f t="array" ref="U242">IF(C242="",INDEX(C235:C242,MATCH(TRUE,INDEX((C235:C242&lt;&gt;""),0),0)),C242)</f>
        <v>BOS Theia</v>
      </c>
      <c r="V242" s="120">
        <f t="shared" si="33"/>
        <v>0.73573966710304839</v>
      </c>
      <c r="W242" s="120">
        <v>18000</v>
      </c>
      <c r="X242" s="120"/>
      <c r="Y242" s="120">
        <f t="shared" si="32"/>
        <v>15736</v>
      </c>
      <c r="Z242" s="121"/>
    </row>
    <row r="243" spans="1:26" ht="25" customHeight="1" outlineLevel="1" x14ac:dyDescent="0.35">
      <c r="B243" s="161"/>
      <c r="C243" s="161"/>
      <c r="D243" s="161"/>
      <c r="E243" s="6" t="s">
        <v>106</v>
      </c>
      <c r="F243" s="32" t="s">
        <v>21</v>
      </c>
      <c r="G243" s="37"/>
      <c r="H243" s="61" t="str">
        <f t="shared" si="27"/>
        <v/>
      </c>
      <c r="I243" s="61" t="str">
        <f t="shared" si="28"/>
        <v/>
      </c>
      <c r="J243" s="62" t="str">
        <f t="shared" si="29"/>
        <v/>
      </c>
      <c r="K243" s="6"/>
      <c r="L243" s="45"/>
      <c r="U243" s="119" t="str" cm="1">
        <f t="array" ref="U243">IF(C243="",INDEX(C237:C243,MATCH(TRUE,INDEX((C237:C243&lt;&gt;""),0),0)),C243)</f>
        <v>BOS Theia</v>
      </c>
      <c r="V243" s="120">
        <f t="shared" si="33"/>
        <v>0.73573966710304839</v>
      </c>
      <c r="W243" s="120">
        <v>18000</v>
      </c>
      <c r="X243" s="120"/>
      <c r="Y243" s="120">
        <f t="shared" si="32"/>
        <v>15736</v>
      </c>
      <c r="Z243" s="121"/>
    </row>
    <row r="244" spans="1:26" ht="25" customHeight="1" outlineLevel="1" x14ac:dyDescent="0.35">
      <c r="B244" s="162"/>
      <c r="C244" s="162"/>
      <c r="D244" s="162"/>
      <c r="E244" s="7" t="s">
        <v>14</v>
      </c>
      <c r="F244" s="32" t="s">
        <v>32</v>
      </c>
      <c r="G244" s="37"/>
      <c r="H244" s="61" t="str">
        <f t="shared" si="27"/>
        <v/>
      </c>
      <c r="I244" s="61" t="str">
        <f t="shared" si="28"/>
        <v/>
      </c>
      <c r="J244" s="62" t="str">
        <f t="shared" si="29"/>
        <v/>
      </c>
      <c r="K244" s="6"/>
      <c r="L244" s="46"/>
      <c r="U244" s="119" t="str" cm="1">
        <f t="array" ref="U244">IF(C244="",INDEX(C238:C244,MATCH(TRUE,INDEX((C238:C244&lt;&gt;""),0),0)),C244)</f>
        <v>BOS Theia</v>
      </c>
      <c r="V244" s="120">
        <f t="shared" si="33"/>
        <v>0.73573966710304839</v>
      </c>
      <c r="W244" s="120">
        <v>18000</v>
      </c>
      <c r="X244" s="120"/>
      <c r="Y244" s="120">
        <f t="shared" si="32"/>
        <v>15736</v>
      </c>
      <c r="Z244" s="121"/>
    </row>
    <row r="245" spans="1:26" ht="30" customHeight="1" x14ac:dyDescent="0.35">
      <c r="A245" s="8" t="s">
        <v>133</v>
      </c>
      <c r="B245" s="163">
        <v>41</v>
      </c>
      <c r="C245" s="163" t="s">
        <v>67</v>
      </c>
      <c r="D245" s="163" t="s">
        <v>64</v>
      </c>
      <c r="E245" s="26" t="s">
        <v>102</v>
      </c>
      <c r="F245" s="31"/>
      <c r="G245" s="34"/>
      <c r="H245" s="55" t="str">
        <f t="shared" si="27"/>
        <v/>
      </c>
      <c r="I245" s="55" t="str">
        <f t="shared" si="28"/>
        <v/>
      </c>
      <c r="J245" s="56" t="str">
        <f t="shared" si="29"/>
        <v/>
      </c>
      <c r="K245" s="2"/>
      <c r="L245" s="41"/>
      <c r="U245" s="119" t="str" cm="1">
        <f t="array" ref="U245">IF(C245="",INDEX(C239:C245,MATCH(TRUE,INDEX((C239:C245&lt;&gt;""),0),0)),C245)</f>
        <v>BOS Triton</v>
      </c>
      <c r="V245" s="120">
        <f t="shared" si="33"/>
        <v>0.73573966710304839</v>
      </c>
      <c r="W245" s="120">
        <v>18000</v>
      </c>
      <c r="X245" s="120"/>
      <c r="Y245" s="120">
        <f t="shared" si="32"/>
        <v>15736</v>
      </c>
      <c r="Z245" s="121"/>
    </row>
    <row r="246" spans="1:26" ht="25" customHeight="1" outlineLevel="1" x14ac:dyDescent="0.35">
      <c r="B246" s="164"/>
      <c r="C246" s="164"/>
      <c r="D246" s="164"/>
      <c r="E246" s="3" t="s">
        <v>13</v>
      </c>
      <c r="F246" s="31" t="s">
        <v>21</v>
      </c>
      <c r="G246" s="35"/>
      <c r="H246" s="57" t="str">
        <f t="shared" si="27"/>
        <v/>
      </c>
      <c r="I246" s="57" t="str">
        <f t="shared" si="28"/>
        <v/>
      </c>
      <c r="J246" s="58" t="str">
        <f t="shared" si="29"/>
        <v/>
      </c>
      <c r="K246" s="3"/>
      <c r="L246" s="42"/>
      <c r="U246" s="119" t="str" cm="1">
        <f t="array" ref="U246">IF(C246="",INDEX(C240:C246,MATCH(TRUE,INDEX((C240:C246&lt;&gt;""),0),0)),C246)</f>
        <v>BOS Triton</v>
      </c>
      <c r="V246" s="120">
        <f t="shared" si="33"/>
        <v>0.73573966710304839</v>
      </c>
      <c r="W246" s="120">
        <v>18000</v>
      </c>
      <c r="X246" s="120"/>
      <c r="Y246" s="120">
        <f t="shared" si="32"/>
        <v>15736</v>
      </c>
      <c r="Z246" s="121"/>
    </row>
    <row r="247" spans="1:26" ht="25" customHeight="1" outlineLevel="1" x14ac:dyDescent="0.35">
      <c r="B247" s="164"/>
      <c r="C247" s="164"/>
      <c r="D247" s="164"/>
      <c r="E247" s="3" t="s">
        <v>110</v>
      </c>
      <c r="F247" s="31" t="s">
        <v>21</v>
      </c>
      <c r="G247" s="35"/>
      <c r="H247" s="57" t="str">
        <f t="shared" si="27"/>
        <v/>
      </c>
      <c r="I247" s="57" t="str">
        <f t="shared" si="28"/>
        <v/>
      </c>
      <c r="J247" s="58" t="str">
        <f t="shared" si="29"/>
        <v/>
      </c>
      <c r="K247" s="3"/>
      <c r="L247" s="42"/>
      <c r="U247" s="119" t="str" cm="1">
        <f t="array" ref="U247">IF(C247="",INDEX(C241:C247,MATCH(TRUE,INDEX((C241:C247&lt;&gt;""),0),0)),C247)</f>
        <v>BOS Triton</v>
      </c>
      <c r="V247" s="120">
        <f t="shared" si="33"/>
        <v>0.73573966710304839</v>
      </c>
      <c r="W247" s="120">
        <v>18000</v>
      </c>
      <c r="X247" s="120"/>
      <c r="Y247" s="120">
        <f t="shared" si="32"/>
        <v>15736</v>
      </c>
      <c r="Z247" s="121"/>
    </row>
    <row r="248" spans="1:26" ht="25" customHeight="1" outlineLevel="1" x14ac:dyDescent="0.35">
      <c r="B248" s="164"/>
      <c r="C248" s="164"/>
      <c r="D248" s="164"/>
      <c r="E248" s="3" t="s">
        <v>109</v>
      </c>
      <c r="F248" s="31" t="s">
        <v>21</v>
      </c>
      <c r="G248" s="35"/>
      <c r="H248" s="57" t="str">
        <f t="shared" si="27"/>
        <v/>
      </c>
      <c r="I248" s="57" t="str">
        <f t="shared" si="28"/>
        <v/>
      </c>
      <c r="J248" s="58" t="str">
        <f t="shared" si="29"/>
        <v/>
      </c>
      <c r="K248" s="3"/>
      <c r="L248" s="42"/>
      <c r="U248" s="119" t="str" cm="1">
        <f t="array" ref="U248">IF(C248="",INDEX(C242:C248,MATCH(TRUE,INDEX((C242:C248&lt;&gt;""),0),0)),C248)</f>
        <v>BOS Triton</v>
      </c>
      <c r="V248" s="120">
        <f t="shared" si="33"/>
        <v>0.73573966710304839</v>
      </c>
      <c r="W248" s="120">
        <v>18000</v>
      </c>
      <c r="X248" s="120"/>
      <c r="Y248" s="120">
        <f t="shared" si="32"/>
        <v>15736</v>
      </c>
      <c r="Z248" s="121"/>
    </row>
    <row r="249" spans="1:26" ht="25" customHeight="1" outlineLevel="1" x14ac:dyDescent="0.35">
      <c r="B249" s="164"/>
      <c r="C249" s="164"/>
      <c r="D249" s="164"/>
      <c r="E249" s="3" t="s">
        <v>106</v>
      </c>
      <c r="F249" s="31" t="s">
        <v>21</v>
      </c>
      <c r="G249" s="35"/>
      <c r="H249" s="57" t="str">
        <f t="shared" si="27"/>
        <v/>
      </c>
      <c r="I249" s="57" t="str">
        <f t="shared" si="28"/>
        <v/>
      </c>
      <c r="J249" s="58" t="str">
        <f t="shared" si="29"/>
        <v/>
      </c>
      <c r="K249" s="3"/>
      <c r="L249" s="42"/>
      <c r="U249" s="119" t="str" cm="1">
        <f t="array" ref="U249">IF(C249="",INDEX(C243:C249,MATCH(TRUE,INDEX((C243:C249&lt;&gt;""),0),0)),C249)</f>
        <v>BOS Triton</v>
      </c>
      <c r="V249" s="120">
        <f t="shared" si="33"/>
        <v>0.73573966710304839</v>
      </c>
      <c r="W249" s="120">
        <v>18000</v>
      </c>
      <c r="X249" s="120"/>
      <c r="Y249" s="120">
        <f t="shared" si="32"/>
        <v>15736</v>
      </c>
      <c r="Z249" s="121"/>
    </row>
    <row r="250" spans="1:26" ht="25" customHeight="1" outlineLevel="1" x14ac:dyDescent="0.35">
      <c r="B250" s="165"/>
      <c r="C250" s="165"/>
      <c r="D250" s="165"/>
      <c r="E250" s="4" t="s">
        <v>14</v>
      </c>
      <c r="F250" s="31" t="s">
        <v>32</v>
      </c>
      <c r="G250" s="39"/>
      <c r="H250" s="65" t="str">
        <f t="shared" si="27"/>
        <v/>
      </c>
      <c r="I250" s="65" t="str">
        <f t="shared" si="28"/>
        <v/>
      </c>
      <c r="J250" s="66" t="str">
        <f t="shared" si="29"/>
        <v/>
      </c>
      <c r="K250" s="4"/>
      <c r="L250" s="43"/>
      <c r="U250" s="119" t="str" cm="1">
        <f t="array" ref="U250">IF(C250="",INDEX(C244:C250,MATCH(TRUE,INDEX((C244:C250&lt;&gt;""),0),0)),C250)</f>
        <v>BOS Triton</v>
      </c>
      <c r="V250" s="120">
        <f t="shared" si="33"/>
        <v>0.73573966710304839</v>
      </c>
      <c r="W250" s="120">
        <v>18000</v>
      </c>
      <c r="X250" s="120"/>
      <c r="Y250" s="120">
        <f t="shared" si="32"/>
        <v>15736</v>
      </c>
      <c r="Z250" s="121"/>
    </row>
    <row r="251" spans="1:26" ht="30" customHeight="1" x14ac:dyDescent="0.35">
      <c r="A251" s="8" t="s">
        <v>133</v>
      </c>
      <c r="B251" s="160">
        <v>42</v>
      </c>
      <c r="C251" s="160" t="s">
        <v>68</v>
      </c>
      <c r="D251" s="160" t="s">
        <v>69</v>
      </c>
      <c r="E251" s="27" t="s">
        <v>102</v>
      </c>
      <c r="F251" s="32"/>
      <c r="G251" s="37"/>
      <c r="H251" s="61" t="str">
        <f t="shared" si="27"/>
        <v/>
      </c>
      <c r="I251" s="61" t="str">
        <f t="shared" si="28"/>
        <v/>
      </c>
      <c r="J251" s="62" t="str">
        <f t="shared" si="29"/>
        <v/>
      </c>
      <c r="K251" s="6"/>
      <c r="L251" s="44"/>
      <c r="U251" s="119" t="str" cm="1">
        <f t="array" ref="U251">IF(C251="",INDEX(C245:C251,MATCH(TRUE,INDEX((C245:C251&lt;&gt;""),0),0)),C251)</f>
        <v>Britoil Journey</v>
      </c>
      <c r="V251" s="120">
        <f t="shared" si="33"/>
        <v>1</v>
      </c>
      <c r="W251" s="122">
        <v>20000</v>
      </c>
      <c r="X251" s="120"/>
      <c r="Y251" s="120">
        <f t="shared" si="32"/>
        <v>21388</v>
      </c>
      <c r="Z251" s="121"/>
    </row>
    <row r="252" spans="1:26" ht="25" customHeight="1" outlineLevel="1" x14ac:dyDescent="0.35">
      <c r="B252" s="161"/>
      <c r="C252" s="161"/>
      <c r="D252" s="161"/>
      <c r="E252" s="6" t="s">
        <v>13</v>
      </c>
      <c r="F252" s="32" t="s">
        <v>17</v>
      </c>
      <c r="G252" s="37"/>
      <c r="H252" s="61">
        <f t="shared" si="27"/>
        <v>11000</v>
      </c>
      <c r="I252" s="61">
        <f t="shared" si="28"/>
        <v>3200</v>
      </c>
      <c r="J252" s="62">
        <f t="shared" si="29"/>
        <v>64</v>
      </c>
      <c r="K252" s="6"/>
      <c r="L252" s="45"/>
      <c r="U252" s="119" t="str" cm="1">
        <f t="array" ref="U252">IF(C252="",INDEX(C246:C252,MATCH(TRUE,INDEX((C246:C252&lt;&gt;""),0),0)),C252)</f>
        <v>Britoil Journey</v>
      </c>
      <c r="V252" s="120">
        <f t="shared" si="33"/>
        <v>1</v>
      </c>
      <c r="W252" s="122">
        <v>20000</v>
      </c>
      <c r="X252" s="120"/>
      <c r="Y252" s="120">
        <f t="shared" si="32"/>
        <v>21388</v>
      </c>
      <c r="Z252" s="121"/>
    </row>
    <row r="253" spans="1:26" ht="25" customHeight="1" outlineLevel="1" x14ac:dyDescent="0.35">
      <c r="B253" s="161"/>
      <c r="C253" s="161"/>
      <c r="D253" s="161"/>
      <c r="E253" s="6" t="s">
        <v>103</v>
      </c>
      <c r="F253" s="32" t="s">
        <v>17</v>
      </c>
      <c r="G253" s="37">
        <v>45733</v>
      </c>
      <c r="H253" s="61">
        <f t="shared" si="27"/>
        <v>0</v>
      </c>
      <c r="I253" s="61">
        <f t="shared" si="28"/>
        <v>3000</v>
      </c>
      <c r="J253" s="62">
        <f t="shared" si="29"/>
        <v>0</v>
      </c>
      <c r="K253" s="6"/>
      <c r="L253" s="45" t="s">
        <v>125</v>
      </c>
      <c r="U253" s="119" t="str" cm="1">
        <f t="array" ref="U253">IF(C253="",INDEX(C247:C253,MATCH(TRUE,INDEX((C247:C253&lt;&gt;""),0),0)),C253)</f>
        <v>Britoil Journey</v>
      </c>
      <c r="V253" s="120">
        <f t="shared" si="33"/>
        <v>1</v>
      </c>
      <c r="W253" s="122">
        <v>20000</v>
      </c>
      <c r="X253" s="120"/>
      <c r="Y253" s="120">
        <f t="shared" si="32"/>
        <v>21388</v>
      </c>
      <c r="Z253" s="121"/>
    </row>
    <row r="254" spans="1:26" ht="25" customHeight="1" outlineLevel="1" x14ac:dyDescent="0.35">
      <c r="B254" s="161"/>
      <c r="C254" s="161"/>
      <c r="D254" s="161"/>
      <c r="E254" s="6" t="s">
        <v>110</v>
      </c>
      <c r="F254" s="32" t="s">
        <v>17</v>
      </c>
      <c r="G254" s="37"/>
      <c r="H254" s="61">
        <f t="shared" si="27"/>
        <v>0</v>
      </c>
      <c r="I254" s="61">
        <f t="shared" si="28"/>
        <v>500</v>
      </c>
      <c r="J254" s="62">
        <f t="shared" si="29"/>
        <v>0</v>
      </c>
      <c r="K254" s="6"/>
      <c r="L254" s="45"/>
      <c r="U254" s="119" t="str" cm="1">
        <f t="array" ref="U254">IF(C254="",INDEX(C248:C254,MATCH(TRUE,INDEX((C248:C254&lt;&gt;""),0),0)),C254)</f>
        <v>Britoil Journey</v>
      </c>
      <c r="V254" s="120">
        <f t="shared" si="33"/>
        <v>1</v>
      </c>
      <c r="W254" s="122">
        <v>20000</v>
      </c>
      <c r="X254" s="120"/>
      <c r="Y254" s="120">
        <f t="shared" si="32"/>
        <v>21388</v>
      </c>
      <c r="Z254" s="121"/>
    </row>
    <row r="255" spans="1:26" ht="25" customHeight="1" outlineLevel="1" x14ac:dyDescent="0.35">
      <c r="B255" s="161"/>
      <c r="C255" s="161"/>
      <c r="D255" s="161"/>
      <c r="E255" s="6" t="s">
        <v>109</v>
      </c>
      <c r="F255" s="32" t="s">
        <v>17</v>
      </c>
      <c r="G255" s="37"/>
      <c r="H255" s="61">
        <f t="shared" si="27"/>
        <v>16000</v>
      </c>
      <c r="I255" s="61">
        <f t="shared" si="28"/>
        <v>1000</v>
      </c>
      <c r="J255" s="62">
        <f t="shared" si="29"/>
        <v>93</v>
      </c>
      <c r="K255" s="6"/>
      <c r="L255" s="45" t="s">
        <v>134</v>
      </c>
      <c r="U255" s="119" t="str" cm="1">
        <f t="array" ref="U255">IF(C255="",INDEX(C249:C255,MATCH(TRUE,INDEX((C249:C255&lt;&gt;""),0),0)),C255)</f>
        <v>Britoil Journey</v>
      </c>
      <c r="V255" s="120">
        <f t="shared" si="33"/>
        <v>1</v>
      </c>
      <c r="W255" s="122">
        <v>20000</v>
      </c>
      <c r="X255" s="120"/>
      <c r="Y255" s="120">
        <f t="shared" si="32"/>
        <v>21388</v>
      </c>
      <c r="Z255" s="121"/>
    </row>
    <row r="256" spans="1:26" ht="25" customHeight="1" outlineLevel="1" x14ac:dyDescent="0.35">
      <c r="B256" s="161"/>
      <c r="C256" s="161"/>
      <c r="D256" s="161"/>
      <c r="E256" s="6" t="s">
        <v>106</v>
      </c>
      <c r="F256" s="32" t="s">
        <v>17</v>
      </c>
      <c r="G256" s="37"/>
      <c r="H256" s="61">
        <f t="shared" si="27"/>
        <v>8300</v>
      </c>
      <c r="I256" s="61">
        <f t="shared" si="28"/>
        <v>4000</v>
      </c>
      <c r="J256" s="62">
        <f t="shared" si="29"/>
        <v>85</v>
      </c>
      <c r="K256" s="6"/>
      <c r="L256" s="45"/>
      <c r="U256" s="119" t="str" cm="1">
        <f t="array" ref="U256">IF(C256="",INDEX(C250:C256,MATCH(TRUE,INDEX((C250:C256&lt;&gt;""),0),0)),C256)</f>
        <v>Britoil Journey</v>
      </c>
      <c r="V256" s="120">
        <f t="shared" si="33"/>
        <v>1</v>
      </c>
      <c r="W256" s="122">
        <v>20000</v>
      </c>
      <c r="X256" s="120"/>
      <c r="Y256" s="120">
        <f t="shared" si="32"/>
        <v>21388</v>
      </c>
      <c r="Z256" s="121"/>
    </row>
    <row r="257" spans="1:26" ht="25" customHeight="1" outlineLevel="1" x14ac:dyDescent="0.35">
      <c r="B257" s="162"/>
      <c r="C257" s="162"/>
      <c r="D257" s="162"/>
      <c r="E257" s="7" t="s">
        <v>14</v>
      </c>
      <c r="F257" s="32" t="s">
        <v>32</v>
      </c>
      <c r="G257" s="37"/>
      <c r="H257" s="61" t="str">
        <f t="shared" si="27"/>
        <v/>
      </c>
      <c r="I257" s="61" t="str">
        <f t="shared" si="28"/>
        <v/>
      </c>
      <c r="J257" s="62" t="str">
        <f t="shared" si="29"/>
        <v/>
      </c>
      <c r="K257" s="6"/>
      <c r="L257" s="46"/>
      <c r="U257" s="119" t="str" cm="1">
        <f t="array" ref="U257">IF(C257="",INDEX(C251:C257,MATCH(TRUE,INDEX((C251:C257&lt;&gt;""),0),0)),C257)</f>
        <v>Britoil Journey</v>
      </c>
      <c r="V257" s="120">
        <f t="shared" si="33"/>
        <v>1</v>
      </c>
      <c r="W257" s="122">
        <v>20000</v>
      </c>
      <c r="X257" s="120"/>
      <c r="Y257" s="120">
        <f t="shared" si="32"/>
        <v>21388</v>
      </c>
      <c r="Z257" s="121"/>
    </row>
    <row r="258" spans="1:26" ht="30" customHeight="1" x14ac:dyDescent="0.35">
      <c r="A258" s="8" t="s">
        <v>133</v>
      </c>
      <c r="B258" s="163">
        <v>43</v>
      </c>
      <c r="C258" s="163" t="s">
        <v>70</v>
      </c>
      <c r="D258" s="163" t="s">
        <v>69</v>
      </c>
      <c r="E258" s="26" t="s">
        <v>102</v>
      </c>
      <c r="F258" s="31"/>
      <c r="G258" s="34"/>
      <c r="H258" s="55" t="str">
        <f t="shared" si="27"/>
        <v/>
      </c>
      <c r="I258" s="55" t="str">
        <f t="shared" si="28"/>
        <v/>
      </c>
      <c r="J258" s="56" t="str">
        <f t="shared" si="29"/>
        <v/>
      </c>
      <c r="K258" s="2"/>
      <c r="L258" s="41"/>
      <c r="U258" s="119" t="str" cm="1">
        <f t="array" ref="U258">IF(C258="",INDEX(C252:C258,MATCH(TRUE,INDEX((C252:C258&lt;&gt;""),0),0)),C258)</f>
        <v>Britoil Justice</v>
      </c>
      <c r="V258" s="120">
        <f t="shared" si="33"/>
        <v>1</v>
      </c>
      <c r="W258" s="122">
        <v>20000</v>
      </c>
      <c r="X258" s="120"/>
      <c r="Y258" s="120">
        <f t="shared" si="32"/>
        <v>21388</v>
      </c>
      <c r="Z258" s="121"/>
    </row>
    <row r="259" spans="1:26" ht="25" customHeight="1" outlineLevel="1" x14ac:dyDescent="0.35">
      <c r="B259" s="164"/>
      <c r="C259" s="164"/>
      <c r="D259" s="164"/>
      <c r="E259" s="3" t="s">
        <v>13</v>
      </c>
      <c r="F259" s="31" t="s">
        <v>17</v>
      </c>
      <c r="G259" s="35"/>
      <c r="H259" s="57">
        <f t="shared" si="27"/>
        <v>11000</v>
      </c>
      <c r="I259" s="57">
        <f t="shared" si="28"/>
        <v>3200</v>
      </c>
      <c r="J259" s="58">
        <f t="shared" si="29"/>
        <v>64</v>
      </c>
      <c r="K259" s="3"/>
      <c r="L259" s="42"/>
      <c r="U259" s="119" t="str" cm="1">
        <f t="array" ref="U259">IF(C259="",INDEX(C253:C259,MATCH(TRUE,INDEX((C253:C259&lt;&gt;""),0),0)),C259)</f>
        <v>Britoil Justice</v>
      </c>
      <c r="V259" s="120">
        <f t="shared" si="33"/>
        <v>1</v>
      </c>
      <c r="W259" s="122">
        <v>20000</v>
      </c>
      <c r="X259" s="120"/>
      <c r="Y259" s="120">
        <f t="shared" si="32"/>
        <v>21388</v>
      </c>
      <c r="Z259" s="121"/>
    </row>
    <row r="260" spans="1:26" ht="25" customHeight="1" outlineLevel="1" x14ac:dyDescent="0.35">
      <c r="B260" s="164"/>
      <c r="C260" s="164"/>
      <c r="D260" s="164"/>
      <c r="E260" s="3" t="s">
        <v>103</v>
      </c>
      <c r="F260" s="31" t="s">
        <v>17</v>
      </c>
      <c r="G260" s="35">
        <v>45733</v>
      </c>
      <c r="H260" s="57">
        <f t="shared" si="27"/>
        <v>0</v>
      </c>
      <c r="I260" s="57">
        <f t="shared" si="28"/>
        <v>3000</v>
      </c>
      <c r="J260" s="58">
        <f t="shared" si="29"/>
        <v>0</v>
      </c>
      <c r="K260" s="3"/>
      <c r="L260" s="42" t="s">
        <v>125</v>
      </c>
      <c r="U260" s="119" t="str" cm="1">
        <f t="array" ref="U260">IF(C260="",INDEX(C254:C260,MATCH(TRUE,INDEX((C254:C260&lt;&gt;""),0),0)),C260)</f>
        <v>Britoil Justice</v>
      </c>
      <c r="V260" s="120">
        <f t="shared" si="33"/>
        <v>1</v>
      </c>
      <c r="W260" s="122">
        <v>20000</v>
      </c>
      <c r="X260" s="120"/>
      <c r="Y260" s="120">
        <f t="shared" si="32"/>
        <v>21388</v>
      </c>
      <c r="Z260" s="121"/>
    </row>
    <row r="261" spans="1:26" ht="25" customHeight="1" outlineLevel="1" x14ac:dyDescent="0.35">
      <c r="B261" s="164"/>
      <c r="C261" s="164"/>
      <c r="D261" s="164"/>
      <c r="E261" s="3" t="s">
        <v>110</v>
      </c>
      <c r="F261" s="31" t="s">
        <v>17</v>
      </c>
      <c r="G261" s="35"/>
      <c r="H261" s="57">
        <f t="shared" si="27"/>
        <v>0</v>
      </c>
      <c r="I261" s="57">
        <f t="shared" si="28"/>
        <v>500</v>
      </c>
      <c r="J261" s="58">
        <f t="shared" si="29"/>
        <v>0</v>
      </c>
      <c r="K261" s="3"/>
      <c r="L261" s="42"/>
      <c r="U261" s="119" t="str" cm="1">
        <f t="array" ref="U261">IF(C261="",INDEX(C255:C261,MATCH(TRUE,INDEX((C255:C261&lt;&gt;""),0),0)),C261)</f>
        <v>Britoil Justice</v>
      </c>
      <c r="V261" s="120">
        <f t="shared" si="33"/>
        <v>1</v>
      </c>
      <c r="W261" s="122">
        <v>20000</v>
      </c>
      <c r="X261" s="120"/>
      <c r="Y261" s="120">
        <f t="shared" si="32"/>
        <v>21388</v>
      </c>
      <c r="Z261" s="121"/>
    </row>
    <row r="262" spans="1:26" ht="25" customHeight="1" outlineLevel="1" x14ac:dyDescent="0.35">
      <c r="B262" s="164"/>
      <c r="C262" s="164"/>
      <c r="D262" s="164"/>
      <c r="E262" s="3" t="s">
        <v>109</v>
      </c>
      <c r="F262" s="31" t="s">
        <v>17</v>
      </c>
      <c r="G262" s="35"/>
      <c r="H262" s="57">
        <f t="shared" si="27"/>
        <v>16000</v>
      </c>
      <c r="I262" s="57">
        <f t="shared" si="28"/>
        <v>1000</v>
      </c>
      <c r="J262" s="58">
        <f t="shared" si="29"/>
        <v>93</v>
      </c>
      <c r="K262" s="3"/>
      <c r="L262" s="42" t="s">
        <v>134</v>
      </c>
      <c r="U262" s="119" t="str" cm="1">
        <f t="array" ref="U262">IF(C262="",INDEX(C256:C262,MATCH(TRUE,INDEX((C256:C262&lt;&gt;""),0),0)),C262)</f>
        <v>Britoil Justice</v>
      </c>
      <c r="V262" s="120">
        <f t="shared" si="33"/>
        <v>1</v>
      </c>
      <c r="W262" s="122">
        <v>20000</v>
      </c>
      <c r="X262" s="120"/>
      <c r="Y262" s="120">
        <f t="shared" si="32"/>
        <v>21388</v>
      </c>
      <c r="Z262" s="121"/>
    </row>
    <row r="263" spans="1:26" ht="25" customHeight="1" outlineLevel="1" x14ac:dyDescent="0.35">
      <c r="B263" s="164"/>
      <c r="C263" s="164"/>
      <c r="D263" s="164"/>
      <c r="E263" s="3" t="s">
        <v>106</v>
      </c>
      <c r="F263" s="31" t="s">
        <v>21</v>
      </c>
      <c r="G263" s="35"/>
      <c r="H263" s="57" t="str">
        <f t="shared" si="27"/>
        <v/>
      </c>
      <c r="I263" s="57" t="str">
        <f t="shared" si="28"/>
        <v/>
      </c>
      <c r="J263" s="58" t="str">
        <f t="shared" si="29"/>
        <v/>
      </c>
      <c r="K263" s="3"/>
      <c r="L263" s="42"/>
      <c r="U263" s="119" t="str" cm="1">
        <f t="array" ref="U263">IF(C263="",INDEX(C257:C263,MATCH(TRUE,INDEX((C257:C263&lt;&gt;""),0),0)),C263)</f>
        <v>Britoil Justice</v>
      </c>
      <c r="V263" s="120">
        <f t="shared" si="33"/>
        <v>1</v>
      </c>
      <c r="W263" s="122">
        <v>20000</v>
      </c>
      <c r="X263" s="120"/>
      <c r="Y263" s="120">
        <f t="shared" si="32"/>
        <v>21388</v>
      </c>
      <c r="Z263" s="121"/>
    </row>
    <row r="264" spans="1:26" ht="25" customHeight="1" outlineLevel="1" x14ac:dyDescent="0.35">
      <c r="B264" s="165"/>
      <c r="C264" s="165"/>
      <c r="D264" s="165"/>
      <c r="E264" s="4" t="s">
        <v>14</v>
      </c>
      <c r="F264" s="31" t="s">
        <v>17</v>
      </c>
      <c r="G264" s="39">
        <v>45867</v>
      </c>
      <c r="H264" s="65">
        <f t="shared" si="27"/>
        <v>1500</v>
      </c>
      <c r="I264" s="65">
        <f t="shared" si="28"/>
        <v>6200</v>
      </c>
      <c r="J264" s="66">
        <f t="shared" si="29"/>
        <v>8</v>
      </c>
      <c r="K264" s="4"/>
      <c r="L264" s="43"/>
      <c r="U264" s="119" t="str" cm="1">
        <f t="array" ref="U264">IF(C264="",INDEX(C258:C264,MATCH(TRUE,INDEX((C258:C264&lt;&gt;""),0),0)),C264)</f>
        <v>Britoil Justice</v>
      </c>
      <c r="V264" s="120">
        <f t="shared" si="33"/>
        <v>1</v>
      </c>
      <c r="W264" s="122">
        <v>20000</v>
      </c>
      <c r="X264" s="120"/>
      <c r="Y264" s="120">
        <f t="shared" si="32"/>
        <v>21388</v>
      </c>
      <c r="Z264" s="121"/>
    </row>
    <row r="265" spans="1:26" ht="30" customHeight="1" x14ac:dyDescent="0.35">
      <c r="A265" s="8" t="s">
        <v>133</v>
      </c>
      <c r="B265" s="160">
        <v>44</v>
      </c>
      <c r="C265" s="160" t="s">
        <v>71</v>
      </c>
      <c r="D265" s="160" t="s">
        <v>72</v>
      </c>
      <c r="E265" s="27" t="s">
        <v>102</v>
      </c>
      <c r="F265" s="32"/>
      <c r="G265" s="37"/>
      <c r="H265" s="61" t="str">
        <f t="shared" si="27"/>
        <v/>
      </c>
      <c r="I265" s="61" t="str">
        <f t="shared" si="28"/>
        <v/>
      </c>
      <c r="J265" s="62" t="str">
        <f t="shared" si="29"/>
        <v/>
      </c>
      <c r="K265" s="6"/>
      <c r="L265" s="44"/>
      <c r="U265" s="119" t="str" cm="1">
        <f t="array" ref="U265">IF(C265="",INDEX(C259:C265,MATCH(TRUE,INDEX((C259:C265&lt;&gt;""),0),0)),C265)</f>
        <v>BOS Pride</v>
      </c>
      <c r="V265" s="120">
        <f t="shared" si="33"/>
        <v>1.1428838601084721</v>
      </c>
      <c r="W265" s="122">
        <v>25000</v>
      </c>
      <c r="X265" s="120"/>
      <c r="Y265" s="120">
        <f t="shared" si="32"/>
        <v>24444</v>
      </c>
      <c r="Z265" s="121"/>
    </row>
    <row r="266" spans="1:26" ht="25" customHeight="1" outlineLevel="1" x14ac:dyDescent="0.35">
      <c r="B266" s="161"/>
      <c r="C266" s="161"/>
      <c r="D266" s="161"/>
      <c r="E266" s="6" t="s">
        <v>13</v>
      </c>
      <c r="F266" s="32" t="s">
        <v>17</v>
      </c>
      <c r="G266" s="37"/>
      <c r="H266" s="61">
        <f t="shared" ref="H266:H329" si="36">IF(F266="Done", V266*VLOOKUP(E266, $AB$3:$AC$16, 2, FALSE), "")</f>
        <v>12571.722461193192</v>
      </c>
      <c r="I266" s="61">
        <f t="shared" ref="I266:I329" si="37">IF(F266="Done", V266*VLOOKUP(E266, $AB$3:$AD$16, 3, FALSE), "")</f>
        <v>3657.2283523471106</v>
      </c>
      <c r="J266" s="62">
        <f t="shared" ref="J266:J329" si="38">IF(F266="Done", V266*VLOOKUP(E266, $AB$3:$AE$16, 4, FALSE), "")</f>
        <v>73.144567046942214</v>
      </c>
      <c r="K266" s="6"/>
      <c r="L266" s="45"/>
      <c r="U266" s="119" t="str" cm="1">
        <f t="array" ref="U266">IF(C266="",INDEX(C260:C266,MATCH(TRUE,INDEX((C260:C266&lt;&gt;""),0),0)),C266)</f>
        <v>BOS Pride</v>
      </c>
      <c r="V266" s="120">
        <f t="shared" si="33"/>
        <v>1.1428838601084721</v>
      </c>
      <c r="W266" s="122">
        <v>25000</v>
      </c>
      <c r="X266" s="120"/>
      <c r="Y266" s="120">
        <f t="shared" si="32"/>
        <v>24444</v>
      </c>
      <c r="Z266" s="121"/>
    </row>
    <row r="267" spans="1:26" ht="25" customHeight="1" outlineLevel="1" x14ac:dyDescent="0.35">
      <c r="B267" s="161"/>
      <c r="C267" s="161"/>
      <c r="D267" s="161"/>
      <c r="E267" s="6" t="s">
        <v>103</v>
      </c>
      <c r="F267" s="32" t="s">
        <v>32</v>
      </c>
      <c r="G267" s="37"/>
      <c r="H267" s="61" t="str">
        <f t="shared" si="36"/>
        <v/>
      </c>
      <c r="I267" s="61" t="str">
        <f t="shared" si="37"/>
        <v/>
      </c>
      <c r="J267" s="62" t="str">
        <f t="shared" si="38"/>
        <v/>
      </c>
      <c r="K267" s="6"/>
      <c r="L267" s="45"/>
      <c r="U267" s="119" t="str" cm="1">
        <f t="array" ref="U267">IF(C267="",INDEX(C261:C267,MATCH(TRUE,INDEX((C261:C267&lt;&gt;""),0),0)),C267)</f>
        <v>BOS Pride</v>
      </c>
      <c r="V267" s="120">
        <f t="shared" si="33"/>
        <v>1.1428838601084721</v>
      </c>
      <c r="W267" s="122">
        <v>25000</v>
      </c>
      <c r="X267" s="120"/>
      <c r="Y267" s="120">
        <f t="shared" si="32"/>
        <v>24444</v>
      </c>
      <c r="Z267" s="121"/>
    </row>
    <row r="268" spans="1:26" ht="25" customHeight="1" outlineLevel="1" x14ac:dyDescent="0.35">
      <c r="B268" s="161"/>
      <c r="C268" s="161"/>
      <c r="D268" s="161"/>
      <c r="E268" s="6" t="s">
        <v>290</v>
      </c>
      <c r="F268" s="32" t="s">
        <v>17</v>
      </c>
      <c r="G268" s="37"/>
      <c r="H268" s="61">
        <f t="shared" si="36"/>
        <v>2857.2096502711802</v>
      </c>
      <c r="I268" s="61">
        <f t="shared" si="37"/>
        <v>5714.4193005423604</v>
      </c>
      <c r="J268" s="62">
        <f t="shared" si="38"/>
        <v>16.000374041518608</v>
      </c>
      <c r="K268" s="6"/>
      <c r="L268" s="45"/>
      <c r="U268" s="119" t="str" cm="1">
        <f t="array" ref="U268">IF(C268="",INDEX(C262:C268,MATCH(TRUE,INDEX((C262:C268&lt;&gt;""),0),0)),C268)</f>
        <v>BOS Pride</v>
      </c>
      <c r="V268" s="120">
        <f t="shared" ref="V268" si="39">MIN(Y268/21388,1.3)</f>
        <v>1.1428838601084721</v>
      </c>
      <c r="W268" s="122">
        <v>25001</v>
      </c>
      <c r="X268" s="120"/>
      <c r="Y268" s="120">
        <f t="shared" ref="Y268" si="40">INT(VLOOKUP(U268, $AB$30:$AH$101, 7, FALSE))</f>
        <v>24444</v>
      </c>
      <c r="Z268" s="121"/>
    </row>
    <row r="269" spans="1:26" ht="25" customHeight="1" outlineLevel="1" x14ac:dyDescent="0.35">
      <c r="B269" s="161"/>
      <c r="C269" s="161"/>
      <c r="D269" s="161"/>
      <c r="E269" s="6" t="s">
        <v>106</v>
      </c>
      <c r="F269" s="32" t="s">
        <v>17</v>
      </c>
      <c r="G269" s="37"/>
      <c r="H269" s="61">
        <f t="shared" si="36"/>
        <v>9485.9360389003177</v>
      </c>
      <c r="I269" s="61">
        <f t="shared" si="37"/>
        <v>4571.5354404338887</v>
      </c>
      <c r="J269" s="62">
        <f t="shared" si="38"/>
        <v>97.145128109220124</v>
      </c>
      <c r="K269" s="6"/>
      <c r="L269" s="45"/>
      <c r="U269" s="119" t="str" cm="1">
        <f t="array" ref="U269">IF(C269="",INDEX(C262:C269,MATCH(TRUE,INDEX((C262:C269&lt;&gt;""),0),0)),C269)</f>
        <v>BOS Pride</v>
      </c>
      <c r="V269" s="120">
        <f t="shared" si="33"/>
        <v>1.1428838601084721</v>
      </c>
      <c r="W269" s="122">
        <v>25000</v>
      </c>
      <c r="X269" s="120"/>
      <c r="Y269" s="120">
        <f t="shared" si="32"/>
        <v>24444</v>
      </c>
      <c r="Z269" s="121"/>
    </row>
    <row r="270" spans="1:26" ht="25" customHeight="1" outlineLevel="1" x14ac:dyDescent="0.35">
      <c r="B270" s="161"/>
      <c r="C270" s="161"/>
      <c r="D270" s="161"/>
      <c r="E270" s="6" t="s">
        <v>109</v>
      </c>
      <c r="F270" s="32" t="s">
        <v>21</v>
      </c>
      <c r="G270" s="37"/>
      <c r="H270" s="61" t="str">
        <f t="shared" si="36"/>
        <v/>
      </c>
      <c r="I270" s="61" t="str">
        <f t="shared" si="37"/>
        <v/>
      </c>
      <c r="J270" s="62" t="str">
        <f t="shared" si="38"/>
        <v/>
      </c>
      <c r="K270" s="6"/>
      <c r="L270" s="45" t="s">
        <v>170</v>
      </c>
      <c r="U270" s="119" t="str" cm="1">
        <f t="array" ref="U270">IF(C270="",INDEX(C263:C270,MATCH(TRUE,INDEX((C263:C270&lt;&gt;""),0),0)),C270)</f>
        <v>BOS Pride</v>
      </c>
      <c r="V270" s="120">
        <f t="shared" si="33"/>
        <v>1.1428838601084721</v>
      </c>
      <c r="W270" s="122">
        <v>25000</v>
      </c>
      <c r="X270" s="120"/>
      <c r="Y270" s="120">
        <f t="shared" si="32"/>
        <v>24444</v>
      </c>
      <c r="Z270" s="121"/>
    </row>
    <row r="271" spans="1:26" ht="25" customHeight="1" outlineLevel="1" x14ac:dyDescent="0.35">
      <c r="B271" s="161"/>
      <c r="C271" s="161"/>
      <c r="D271" s="161"/>
      <c r="E271" s="6" t="s">
        <v>309</v>
      </c>
      <c r="F271" s="32" t="s">
        <v>21</v>
      </c>
      <c r="G271" s="37"/>
      <c r="H271" s="61" t="str">
        <f t="shared" si="36"/>
        <v/>
      </c>
      <c r="I271" s="61" t="str">
        <f t="shared" si="37"/>
        <v/>
      </c>
      <c r="J271" s="62" t="str">
        <f t="shared" si="38"/>
        <v/>
      </c>
      <c r="K271" s="6"/>
      <c r="L271" s="45"/>
      <c r="U271" s="119" t="str" cm="1">
        <f t="array" ref="U271">IF(C271="",INDEX(C264:C271,MATCH(TRUE,INDEX((C264:C271&lt;&gt;""),0),0)),C271)</f>
        <v>BOS Pride</v>
      </c>
      <c r="V271" s="120">
        <f t="shared" si="33"/>
        <v>1.1428838601084721</v>
      </c>
      <c r="W271" s="122">
        <v>25000</v>
      </c>
      <c r="X271" s="120"/>
      <c r="Y271" s="120">
        <f t="shared" si="32"/>
        <v>24444</v>
      </c>
      <c r="Z271" s="121"/>
    </row>
    <row r="272" spans="1:26" ht="25" customHeight="1" outlineLevel="1" x14ac:dyDescent="0.35">
      <c r="B272" s="161"/>
      <c r="C272" s="161"/>
      <c r="D272" s="161"/>
      <c r="E272" s="6" t="s">
        <v>310</v>
      </c>
      <c r="F272" s="32" t="s">
        <v>21</v>
      </c>
      <c r="G272" s="37"/>
      <c r="H272" s="61" t="str">
        <f t="shared" si="36"/>
        <v/>
      </c>
      <c r="I272" s="61" t="str">
        <f t="shared" si="37"/>
        <v/>
      </c>
      <c r="J272" s="62" t="str">
        <f t="shared" si="38"/>
        <v/>
      </c>
      <c r="K272" s="6"/>
      <c r="L272" s="45"/>
      <c r="U272" s="119" t="str" cm="1">
        <f t="array" ref="U272">IF(C272="",INDEX(C265:C272,MATCH(TRUE,INDEX((C265:C272&lt;&gt;""),0),0)),C272)</f>
        <v>BOS Pride</v>
      </c>
      <c r="V272" s="120">
        <f t="shared" ref="V272" si="41">MIN(Y272/21388,1.3)</f>
        <v>1.1428838601084721</v>
      </c>
      <c r="W272" s="122">
        <v>25001</v>
      </c>
      <c r="X272" s="120"/>
      <c r="Y272" s="120">
        <f t="shared" ref="Y272" si="42">INT(VLOOKUP(U272, $AB$30:$AH$101, 7, FALSE))</f>
        <v>24444</v>
      </c>
      <c r="Z272" s="121"/>
    </row>
    <row r="273" spans="1:26" ht="25" customHeight="1" outlineLevel="1" x14ac:dyDescent="0.35">
      <c r="B273" s="161"/>
      <c r="C273" s="161"/>
      <c r="D273" s="161"/>
      <c r="E273" s="6" t="s">
        <v>110</v>
      </c>
      <c r="F273" s="32" t="s">
        <v>17</v>
      </c>
      <c r="G273" s="37"/>
      <c r="H273" s="61">
        <f t="shared" si="36"/>
        <v>0</v>
      </c>
      <c r="I273" s="61">
        <f t="shared" si="37"/>
        <v>571.44193005423608</v>
      </c>
      <c r="J273" s="62">
        <f t="shared" si="38"/>
        <v>0</v>
      </c>
      <c r="K273" s="6"/>
      <c r="L273" s="45"/>
      <c r="U273" s="119" t="str" cm="1">
        <f t="array" ref="U273">IF(C273="",INDEX(C264:C273,MATCH(TRUE,INDEX((C264:C273&lt;&gt;""),0),0)),C273)</f>
        <v>BOS Pride</v>
      </c>
      <c r="V273" s="120">
        <f t="shared" si="33"/>
        <v>1.1428838601084721</v>
      </c>
      <c r="W273" s="122">
        <v>25000</v>
      </c>
      <c r="X273" s="120"/>
      <c r="Y273" s="120">
        <f t="shared" si="32"/>
        <v>24444</v>
      </c>
      <c r="Z273" s="121"/>
    </row>
    <row r="274" spans="1:26" ht="25" customHeight="1" outlineLevel="1" x14ac:dyDescent="0.35">
      <c r="B274" s="162"/>
      <c r="C274" s="162"/>
      <c r="D274" s="162"/>
      <c r="E274" s="7" t="s">
        <v>14</v>
      </c>
      <c r="F274" s="32" t="s">
        <v>17</v>
      </c>
      <c r="G274" s="37"/>
      <c r="H274" s="61">
        <f t="shared" si="36"/>
        <v>1714.3257901627082</v>
      </c>
      <c r="I274" s="61">
        <f t="shared" si="37"/>
        <v>7085.8799326725266</v>
      </c>
      <c r="J274" s="62">
        <f t="shared" si="38"/>
        <v>9.1430708808677768</v>
      </c>
      <c r="K274" s="6"/>
      <c r="L274" s="46"/>
      <c r="U274" s="119" t="str" cm="1">
        <f t="array" ref="U274">IF(C274="",INDEX(C265:C274,MATCH(TRUE,INDEX((C265:C274&lt;&gt;""),0),0)),C274)</f>
        <v>BOS Pride</v>
      </c>
      <c r="V274" s="120">
        <f t="shared" si="33"/>
        <v>1.1428838601084721</v>
      </c>
      <c r="W274" s="122">
        <v>25000</v>
      </c>
      <c r="X274" s="120"/>
      <c r="Y274" s="120">
        <f t="shared" si="32"/>
        <v>24444</v>
      </c>
      <c r="Z274" s="121"/>
    </row>
    <row r="275" spans="1:26" ht="30" customHeight="1" x14ac:dyDescent="0.35">
      <c r="A275" s="8" t="s">
        <v>133</v>
      </c>
      <c r="B275" s="163">
        <v>45</v>
      </c>
      <c r="C275" s="163" t="s">
        <v>73</v>
      </c>
      <c r="D275" s="163" t="s">
        <v>72</v>
      </c>
      <c r="E275" s="26" t="s">
        <v>102</v>
      </c>
      <c r="F275" s="31"/>
      <c r="G275" s="34"/>
      <c r="H275" s="55" t="str">
        <f t="shared" si="36"/>
        <v/>
      </c>
      <c r="I275" s="55" t="str">
        <f t="shared" si="37"/>
        <v/>
      </c>
      <c r="J275" s="56" t="str">
        <f t="shared" si="38"/>
        <v/>
      </c>
      <c r="K275" s="2"/>
      <c r="L275" s="41"/>
      <c r="U275" s="119" t="str" cm="1">
        <f t="array" ref="U275">IF(C275="",INDEX(C266:C275,MATCH(TRUE,INDEX((C266:C275&lt;&gt;""),0),0)),C275)</f>
        <v>BOS Princess</v>
      </c>
      <c r="V275" s="120">
        <f t="shared" si="33"/>
        <v>1</v>
      </c>
      <c r="W275" s="122">
        <v>20000</v>
      </c>
      <c r="X275" s="120"/>
      <c r="Y275" s="120">
        <f t="shared" si="32"/>
        <v>21388</v>
      </c>
      <c r="Z275" s="121"/>
    </row>
    <row r="276" spans="1:26" ht="30" customHeight="1" outlineLevel="1" x14ac:dyDescent="0.35">
      <c r="B276" s="164"/>
      <c r="C276" s="164"/>
      <c r="D276" s="164"/>
      <c r="E276" s="3" t="s">
        <v>190</v>
      </c>
      <c r="F276" s="31" t="s">
        <v>17</v>
      </c>
      <c r="G276" s="35"/>
      <c r="H276" s="57">
        <f t="shared" si="36"/>
        <v>0</v>
      </c>
      <c r="I276" s="57">
        <f t="shared" si="37"/>
        <v>2000</v>
      </c>
      <c r="J276" s="58">
        <f t="shared" si="38"/>
        <v>0</v>
      </c>
      <c r="K276" s="3"/>
      <c r="L276" s="42"/>
      <c r="M276" s="8" t="s">
        <v>133</v>
      </c>
      <c r="U276" s="119" t="str" cm="1">
        <f t="array" ref="U276">IF(C276="",INDEX(C267:C276,MATCH(TRUE,INDEX((C267:C276&lt;&gt;""),0),0)),C276)</f>
        <v>BOS Princess</v>
      </c>
      <c r="V276" s="120">
        <f t="shared" si="33"/>
        <v>1</v>
      </c>
      <c r="W276" s="122">
        <v>20000</v>
      </c>
      <c r="X276" s="120"/>
      <c r="Y276" s="120">
        <f t="shared" ref="Y276:Y350" si="43">INT(VLOOKUP(U276, $AB$30:$AH$101, 7, FALSE))</f>
        <v>21388</v>
      </c>
      <c r="Z276" s="121"/>
    </row>
    <row r="277" spans="1:26" ht="25" customHeight="1" outlineLevel="1" x14ac:dyDescent="0.35">
      <c r="B277" s="164"/>
      <c r="C277" s="164"/>
      <c r="D277" s="164"/>
      <c r="E277" s="3" t="s">
        <v>13</v>
      </c>
      <c r="F277" s="31" t="s">
        <v>17</v>
      </c>
      <c r="G277" s="35"/>
      <c r="H277" s="57">
        <f t="shared" si="36"/>
        <v>11000</v>
      </c>
      <c r="I277" s="57">
        <f t="shared" si="37"/>
        <v>3200</v>
      </c>
      <c r="J277" s="58">
        <f t="shared" si="38"/>
        <v>64</v>
      </c>
      <c r="K277" s="3"/>
      <c r="L277" s="42"/>
      <c r="U277" s="119" t="str" cm="1">
        <f t="array" ref="U277">IF(C277="",INDEX(C267:C277,MATCH(TRUE,INDEX((C267:C277&lt;&gt;""),0),0)),C277)</f>
        <v>BOS Princess</v>
      </c>
      <c r="V277" s="120">
        <f t="shared" ref="V277:V351" si="44">MIN(Y277/21388,1.3)</f>
        <v>1</v>
      </c>
      <c r="W277" s="122">
        <v>20000</v>
      </c>
      <c r="X277" s="120"/>
      <c r="Y277" s="120">
        <f t="shared" si="43"/>
        <v>21388</v>
      </c>
      <c r="Z277" s="121"/>
    </row>
    <row r="278" spans="1:26" ht="25" customHeight="1" outlineLevel="1" x14ac:dyDescent="0.35">
      <c r="B278" s="164"/>
      <c r="C278" s="164"/>
      <c r="D278" s="164"/>
      <c r="E278" s="3" t="s">
        <v>110</v>
      </c>
      <c r="F278" s="31" t="s">
        <v>21</v>
      </c>
      <c r="G278" s="35"/>
      <c r="H278" s="57" t="str">
        <f t="shared" si="36"/>
        <v/>
      </c>
      <c r="I278" s="57" t="str">
        <f t="shared" si="37"/>
        <v/>
      </c>
      <c r="J278" s="58" t="str">
        <f t="shared" si="38"/>
        <v/>
      </c>
      <c r="K278" s="3"/>
      <c r="L278" s="42"/>
      <c r="U278" s="119" t="str" cm="1">
        <f t="array" ref="U278">IF(C278="",INDEX(C269:C278,MATCH(TRUE,INDEX((C269:C278&lt;&gt;""),0),0)),C278)</f>
        <v>BOS Princess</v>
      </c>
      <c r="V278" s="120">
        <f t="shared" si="44"/>
        <v>1</v>
      </c>
      <c r="W278" s="122">
        <v>20000</v>
      </c>
      <c r="X278" s="120"/>
      <c r="Y278" s="120">
        <f t="shared" si="43"/>
        <v>21388</v>
      </c>
      <c r="Z278" s="121"/>
    </row>
    <row r="279" spans="1:26" ht="25" customHeight="1" outlineLevel="1" x14ac:dyDescent="0.35">
      <c r="B279" s="164"/>
      <c r="C279" s="164"/>
      <c r="D279" s="164"/>
      <c r="E279" s="3" t="s">
        <v>109</v>
      </c>
      <c r="F279" s="31" t="s">
        <v>21</v>
      </c>
      <c r="G279" s="35"/>
      <c r="H279" s="57" t="str">
        <f t="shared" si="36"/>
        <v/>
      </c>
      <c r="I279" s="57" t="str">
        <f t="shared" si="37"/>
        <v/>
      </c>
      <c r="J279" s="58" t="str">
        <f t="shared" si="38"/>
        <v/>
      </c>
      <c r="K279" s="3"/>
      <c r="L279" s="42"/>
      <c r="U279" s="119" t="str" cm="1">
        <f t="array" ref="U279">IF(C279="",INDEX(C270:C279,MATCH(TRUE,INDEX((C270:C279&lt;&gt;""),0),0)),C279)</f>
        <v>BOS Princess</v>
      </c>
      <c r="V279" s="120">
        <f t="shared" si="44"/>
        <v>1</v>
      </c>
      <c r="W279" s="122">
        <v>20000</v>
      </c>
      <c r="X279" s="120"/>
      <c r="Y279" s="120">
        <f t="shared" si="43"/>
        <v>21388</v>
      </c>
      <c r="Z279" s="121"/>
    </row>
    <row r="280" spans="1:26" ht="25" customHeight="1" outlineLevel="1" x14ac:dyDescent="0.35">
      <c r="B280" s="164"/>
      <c r="C280" s="164"/>
      <c r="D280" s="164"/>
      <c r="E280" s="3" t="s">
        <v>310</v>
      </c>
      <c r="F280" s="31" t="s">
        <v>21</v>
      </c>
      <c r="G280" s="35"/>
      <c r="H280" s="57" t="str">
        <f t="shared" si="36"/>
        <v/>
      </c>
      <c r="I280" s="57" t="str">
        <f t="shared" si="37"/>
        <v/>
      </c>
      <c r="J280" s="58" t="str">
        <f t="shared" si="38"/>
        <v/>
      </c>
      <c r="K280" s="3"/>
      <c r="L280" s="42"/>
      <c r="U280" s="119" t="str" cm="1">
        <f t="array" ref="U280">IF(C280="",INDEX(C271:C280,MATCH(TRUE,INDEX((C271:C280&lt;&gt;""),0),0)),C280)</f>
        <v>BOS Princess</v>
      </c>
      <c r="V280" s="120">
        <f t="shared" ref="V280" si="45">MIN(Y280/21388,1.3)</f>
        <v>1</v>
      </c>
      <c r="W280" s="122">
        <v>20001</v>
      </c>
      <c r="X280" s="120"/>
      <c r="Y280" s="120">
        <f t="shared" ref="Y280" si="46">INT(VLOOKUP(U280, $AB$30:$AH$101, 7, FALSE))</f>
        <v>21388</v>
      </c>
      <c r="Z280" s="121"/>
    </row>
    <row r="281" spans="1:26" ht="25" customHeight="1" outlineLevel="1" x14ac:dyDescent="0.35">
      <c r="B281" s="164"/>
      <c r="C281" s="164"/>
      <c r="D281" s="164"/>
      <c r="E281" s="3" t="s">
        <v>106</v>
      </c>
      <c r="F281" s="31" t="s">
        <v>21</v>
      </c>
      <c r="G281" s="35"/>
      <c r="H281" s="57" t="str">
        <f t="shared" si="36"/>
        <v/>
      </c>
      <c r="I281" s="57" t="str">
        <f t="shared" si="37"/>
        <v/>
      </c>
      <c r="J281" s="58" t="str">
        <f t="shared" si="38"/>
        <v/>
      </c>
      <c r="K281" s="3"/>
      <c r="L281" s="42"/>
      <c r="U281" s="119" t="str" cm="1">
        <f t="array" ref="U281">IF(C281="",INDEX(C273:C281,MATCH(TRUE,INDEX((C273:C281&lt;&gt;""),0),0)),C281)</f>
        <v>BOS Princess</v>
      </c>
      <c r="V281" s="120">
        <f t="shared" si="44"/>
        <v>1</v>
      </c>
      <c r="W281" s="122">
        <v>20000</v>
      </c>
      <c r="X281" s="120"/>
      <c r="Y281" s="120">
        <f t="shared" si="43"/>
        <v>21388</v>
      </c>
      <c r="Z281" s="121"/>
    </row>
    <row r="282" spans="1:26" ht="25" customHeight="1" outlineLevel="1" x14ac:dyDescent="0.35">
      <c r="B282" s="165"/>
      <c r="C282" s="165"/>
      <c r="D282" s="165"/>
      <c r="E282" s="4" t="s">
        <v>14</v>
      </c>
      <c r="F282" s="31" t="s">
        <v>17</v>
      </c>
      <c r="G282" s="39"/>
      <c r="H282" s="65">
        <f t="shared" si="36"/>
        <v>1500</v>
      </c>
      <c r="I282" s="65">
        <f t="shared" si="37"/>
        <v>6200</v>
      </c>
      <c r="J282" s="66">
        <f t="shared" si="38"/>
        <v>8</v>
      </c>
      <c r="K282" s="4"/>
      <c r="L282" s="43"/>
      <c r="U282" s="119" t="str" cm="1">
        <f t="array" ref="U282">IF(C282="",INDEX(C274:C282,MATCH(TRUE,INDEX((C274:C282&lt;&gt;""),0),0)),C282)</f>
        <v>BOS Princess</v>
      </c>
      <c r="V282" s="120">
        <f t="shared" si="44"/>
        <v>1</v>
      </c>
      <c r="W282" s="122">
        <v>20000</v>
      </c>
      <c r="X282" s="120"/>
      <c r="Y282" s="120">
        <f t="shared" si="43"/>
        <v>21388</v>
      </c>
      <c r="Z282" s="121"/>
    </row>
    <row r="283" spans="1:26" ht="30" customHeight="1" x14ac:dyDescent="0.35">
      <c r="A283" s="8" t="s">
        <v>133</v>
      </c>
      <c r="B283" s="160">
        <v>46</v>
      </c>
      <c r="C283" s="160" t="s">
        <v>74</v>
      </c>
      <c r="D283" s="160" t="s">
        <v>72</v>
      </c>
      <c r="E283" s="27" t="s">
        <v>102</v>
      </c>
      <c r="F283" s="32"/>
      <c r="G283" s="37"/>
      <c r="H283" s="61" t="str">
        <f t="shared" si="36"/>
        <v/>
      </c>
      <c r="I283" s="61" t="str">
        <f t="shared" si="37"/>
        <v/>
      </c>
      <c r="J283" s="62" t="str">
        <f t="shared" si="38"/>
        <v/>
      </c>
      <c r="K283" s="6"/>
      <c r="L283" s="44"/>
      <c r="U283" s="119" t="str" cm="1">
        <f t="array" ref="U283">IF(C283="",INDEX(C275:C283,MATCH(TRUE,INDEX((C275:C283&lt;&gt;""),0),0)),C283)</f>
        <v>BOS Pool</v>
      </c>
      <c r="V283" s="120">
        <f t="shared" si="44"/>
        <v>0.85716289508135401</v>
      </c>
      <c r="W283" s="122">
        <v>20000</v>
      </c>
      <c r="X283" s="120"/>
      <c r="Y283" s="120">
        <f t="shared" si="43"/>
        <v>18333</v>
      </c>
      <c r="Z283" s="121"/>
    </row>
    <row r="284" spans="1:26" ht="25" customHeight="1" outlineLevel="1" x14ac:dyDescent="0.35">
      <c r="B284" s="161"/>
      <c r="C284" s="161"/>
      <c r="D284" s="161"/>
      <c r="E284" s="6" t="s">
        <v>13</v>
      </c>
      <c r="F284" s="32" t="s">
        <v>21</v>
      </c>
      <c r="G284" s="37"/>
      <c r="H284" s="61" t="str">
        <f t="shared" si="36"/>
        <v/>
      </c>
      <c r="I284" s="61" t="str">
        <f t="shared" si="37"/>
        <v/>
      </c>
      <c r="J284" s="62" t="str">
        <f t="shared" si="38"/>
        <v/>
      </c>
      <c r="K284" s="6"/>
      <c r="L284" s="45" t="s">
        <v>153</v>
      </c>
      <c r="U284" s="119" t="str" cm="1">
        <f t="array" ref="U284">IF(C284="",INDEX(C277:C284,MATCH(TRUE,INDEX((C277:C284&lt;&gt;""),0),0)),C284)</f>
        <v>BOS Pool</v>
      </c>
      <c r="V284" s="120">
        <f t="shared" si="44"/>
        <v>0.85716289508135401</v>
      </c>
      <c r="W284" s="122">
        <v>20000</v>
      </c>
      <c r="X284" s="120"/>
      <c r="Y284" s="120">
        <f t="shared" si="43"/>
        <v>18333</v>
      </c>
      <c r="Z284" s="121"/>
    </row>
    <row r="285" spans="1:26" ht="25" customHeight="1" outlineLevel="1" x14ac:dyDescent="0.35">
      <c r="B285" s="161"/>
      <c r="C285" s="161"/>
      <c r="D285" s="161"/>
      <c r="E285" s="6" t="s">
        <v>110</v>
      </c>
      <c r="F285" s="32" t="s">
        <v>21</v>
      </c>
      <c r="G285" s="37"/>
      <c r="H285" s="61" t="str">
        <f t="shared" si="36"/>
        <v/>
      </c>
      <c r="I285" s="61" t="str">
        <f t="shared" si="37"/>
        <v/>
      </c>
      <c r="J285" s="62" t="str">
        <f t="shared" si="38"/>
        <v/>
      </c>
      <c r="K285" s="6"/>
      <c r="L285" s="45"/>
      <c r="U285" s="119" t="str" cm="1">
        <f t="array" ref="U285">IF(C285="",INDEX(C278:C285,MATCH(TRUE,INDEX((C278:C285&lt;&gt;""),0),0)),C285)</f>
        <v>BOS Pool</v>
      </c>
      <c r="V285" s="120">
        <f t="shared" si="44"/>
        <v>0.85716289508135401</v>
      </c>
      <c r="W285" s="122">
        <v>20000</v>
      </c>
      <c r="X285" s="120"/>
      <c r="Y285" s="120">
        <f t="shared" si="43"/>
        <v>18333</v>
      </c>
      <c r="Z285" s="121"/>
    </row>
    <row r="286" spans="1:26" ht="25" customHeight="1" outlineLevel="1" x14ac:dyDescent="0.35">
      <c r="B286" s="161"/>
      <c r="C286" s="161"/>
      <c r="D286" s="161"/>
      <c r="E286" s="6" t="s">
        <v>109</v>
      </c>
      <c r="F286" s="32" t="s">
        <v>21</v>
      </c>
      <c r="G286" s="37"/>
      <c r="H286" s="61" t="str">
        <f t="shared" si="36"/>
        <v/>
      </c>
      <c r="I286" s="61" t="str">
        <f t="shared" si="37"/>
        <v/>
      </c>
      <c r="J286" s="62" t="str">
        <f t="shared" si="38"/>
        <v/>
      </c>
      <c r="K286" s="6"/>
      <c r="L286" s="45" t="s">
        <v>154</v>
      </c>
      <c r="U286" s="119" t="str" cm="1">
        <f t="array" ref="U286">IF(C286="",INDEX(C279:C286,MATCH(TRUE,INDEX((C279:C286&lt;&gt;""),0),0)),C286)</f>
        <v>BOS Pool</v>
      </c>
      <c r="V286" s="120">
        <f t="shared" si="44"/>
        <v>0.85716289508135401</v>
      </c>
      <c r="W286" s="122">
        <v>20000</v>
      </c>
      <c r="X286" s="120"/>
      <c r="Y286" s="120">
        <f t="shared" si="43"/>
        <v>18333</v>
      </c>
      <c r="Z286" s="121"/>
    </row>
    <row r="287" spans="1:26" ht="25" customHeight="1" outlineLevel="1" x14ac:dyDescent="0.35">
      <c r="B287" s="161"/>
      <c r="C287" s="161"/>
      <c r="D287" s="161"/>
      <c r="E287" s="6" t="s">
        <v>310</v>
      </c>
      <c r="F287" s="32" t="s">
        <v>21</v>
      </c>
      <c r="G287" s="37"/>
      <c r="H287" s="61" t="str">
        <f t="shared" si="36"/>
        <v/>
      </c>
      <c r="I287" s="61" t="str">
        <f t="shared" si="37"/>
        <v/>
      </c>
      <c r="J287" s="62" t="str">
        <f t="shared" si="38"/>
        <v/>
      </c>
      <c r="K287" s="6"/>
      <c r="L287" s="45"/>
      <c r="U287" s="119" t="str" cm="1">
        <f t="array" ref="U287">IF(C287="",INDEX(C280:C287,MATCH(TRUE,INDEX((C280:C287&lt;&gt;""),0),0)),C287)</f>
        <v>BOS Pool</v>
      </c>
      <c r="V287" s="120">
        <f t="shared" ref="V287" si="47">MIN(Y287/21388,1.3)</f>
        <v>0.85716289508135401</v>
      </c>
      <c r="W287" s="122">
        <v>20001</v>
      </c>
      <c r="X287" s="120"/>
      <c r="Y287" s="120">
        <f t="shared" ref="Y287" si="48">INT(VLOOKUP(U287, $AB$30:$AH$101, 7, FALSE))</f>
        <v>18333</v>
      </c>
      <c r="Z287" s="121"/>
    </row>
    <row r="288" spans="1:26" ht="25" customHeight="1" outlineLevel="1" x14ac:dyDescent="0.35">
      <c r="B288" s="161"/>
      <c r="C288" s="161"/>
      <c r="D288" s="161"/>
      <c r="E288" s="6" t="s">
        <v>106</v>
      </c>
      <c r="F288" s="32" t="s">
        <v>21</v>
      </c>
      <c r="G288" s="37"/>
      <c r="H288" s="61" t="str">
        <f t="shared" si="36"/>
        <v/>
      </c>
      <c r="I288" s="61" t="str">
        <f t="shared" si="37"/>
        <v/>
      </c>
      <c r="J288" s="62" t="str">
        <f t="shared" si="38"/>
        <v/>
      </c>
      <c r="K288" s="6"/>
      <c r="L288" s="45" t="s">
        <v>155</v>
      </c>
      <c r="U288" s="119" t="str" cm="1">
        <f t="array" ref="U288">IF(C288="",INDEX(C281:C288,MATCH(TRUE,INDEX((C281:C288&lt;&gt;""),0),0)),C288)</f>
        <v>BOS Pool</v>
      </c>
      <c r="V288" s="120">
        <f t="shared" si="44"/>
        <v>0.85716289508135401</v>
      </c>
      <c r="W288" s="122">
        <v>20000</v>
      </c>
      <c r="X288" s="120"/>
      <c r="Y288" s="120">
        <f t="shared" si="43"/>
        <v>18333</v>
      </c>
      <c r="Z288" s="121"/>
    </row>
    <row r="289" spans="1:26" ht="25" customHeight="1" outlineLevel="1" x14ac:dyDescent="0.35">
      <c r="B289" s="162"/>
      <c r="C289" s="162"/>
      <c r="D289" s="162"/>
      <c r="E289" s="7" t="s">
        <v>14</v>
      </c>
      <c r="F289" s="32" t="s">
        <v>105</v>
      </c>
      <c r="G289" s="37"/>
      <c r="H289" s="61" t="str">
        <f t="shared" si="36"/>
        <v/>
      </c>
      <c r="I289" s="61" t="str">
        <f t="shared" si="37"/>
        <v/>
      </c>
      <c r="J289" s="62" t="str">
        <f t="shared" si="38"/>
        <v/>
      </c>
      <c r="K289" s="6"/>
      <c r="L289" s="46" t="s">
        <v>317</v>
      </c>
      <c r="U289" s="119" t="str" cm="1">
        <f t="array" ref="U289">IF(C289="",INDEX(C282:C289,MATCH(TRUE,INDEX((C282:C289&lt;&gt;""),0),0)),C289)</f>
        <v>BOS Pool</v>
      </c>
      <c r="V289" s="120">
        <f t="shared" si="44"/>
        <v>0.85716289508135401</v>
      </c>
      <c r="W289" s="122">
        <v>20000</v>
      </c>
      <c r="X289" s="120"/>
      <c r="Y289" s="120">
        <f t="shared" si="43"/>
        <v>18333</v>
      </c>
      <c r="Z289" s="121"/>
    </row>
    <row r="290" spans="1:26" ht="30" customHeight="1" x14ac:dyDescent="0.35">
      <c r="A290" s="8" t="s">
        <v>133</v>
      </c>
      <c r="B290" s="163">
        <v>47</v>
      </c>
      <c r="C290" s="163" t="s">
        <v>75</v>
      </c>
      <c r="D290" s="163" t="s">
        <v>76</v>
      </c>
      <c r="E290" s="26" t="s">
        <v>102</v>
      </c>
      <c r="F290" s="31"/>
      <c r="G290" s="34"/>
      <c r="H290" s="55" t="str">
        <f t="shared" si="36"/>
        <v/>
      </c>
      <c r="I290" s="55" t="str">
        <f t="shared" si="37"/>
        <v/>
      </c>
      <c r="J290" s="56" t="str">
        <f t="shared" si="38"/>
        <v/>
      </c>
      <c r="K290" s="2"/>
      <c r="L290" s="41"/>
      <c r="U290" s="119" t="str" cm="1">
        <f t="array" ref="U290">IF(C290="",INDEX(C283:C290,MATCH(TRUE,INDEX((C283:C290&lt;&gt;""),0),0)),C290)</f>
        <v>BOS Base</v>
      </c>
      <c r="V290" s="120">
        <f t="shared" si="44"/>
        <v>0.85716289508135401</v>
      </c>
      <c r="W290" s="122">
        <v>20000</v>
      </c>
      <c r="X290" s="120"/>
      <c r="Y290" s="120">
        <f t="shared" si="43"/>
        <v>18333</v>
      </c>
      <c r="Z290" s="121"/>
    </row>
    <row r="291" spans="1:26" ht="25" customHeight="1" outlineLevel="1" x14ac:dyDescent="0.35">
      <c r="B291" s="164"/>
      <c r="C291" s="164"/>
      <c r="D291" s="164"/>
      <c r="E291" s="3" t="s">
        <v>13</v>
      </c>
      <c r="F291" s="31" t="s">
        <v>17</v>
      </c>
      <c r="G291" s="35"/>
      <c r="H291" s="57">
        <f t="shared" si="36"/>
        <v>9428.7918458948934</v>
      </c>
      <c r="I291" s="57">
        <f t="shared" si="37"/>
        <v>2742.9212642603329</v>
      </c>
      <c r="J291" s="58">
        <f t="shared" si="38"/>
        <v>54.858425285206657</v>
      </c>
      <c r="K291" s="3"/>
      <c r="L291" s="42"/>
      <c r="U291" s="119" t="str" cm="1">
        <f t="array" ref="U291">IF(C291="",INDEX(C284:C291,MATCH(TRUE,INDEX((C284:C291&lt;&gt;""),0),0)),C291)</f>
        <v>BOS Base</v>
      </c>
      <c r="V291" s="120">
        <f t="shared" si="44"/>
        <v>0.85716289508135401</v>
      </c>
      <c r="W291" s="122">
        <v>20000</v>
      </c>
      <c r="X291" s="120"/>
      <c r="Y291" s="120">
        <f t="shared" si="43"/>
        <v>18333</v>
      </c>
      <c r="Z291" s="121"/>
    </row>
    <row r="292" spans="1:26" ht="25" customHeight="1" outlineLevel="1" x14ac:dyDescent="0.35">
      <c r="B292" s="164"/>
      <c r="C292" s="164"/>
      <c r="D292" s="164"/>
      <c r="E292" s="3" t="s">
        <v>109</v>
      </c>
      <c r="F292" s="31" t="s">
        <v>21</v>
      </c>
      <c r="G292" s="35"/>
      <c r="H292" s="57" t="str">
        <f t="shared" si="36"/>
        <v/>
      </c>
      <c r="I292" s="57" t="str">
        <f t="shared" si="37"/>
        <v/>
      </c>
      <c r="J292" s="58" t="str">
        <f t="shared" si="38"/>
        <v/>
      </c>
      <c r="K292" s="3"/>
      <c r="L292" s="42"/>
      <c r="U292" s="119" t="str" cm="1">
        <f t="array" ref="U292">IF(C292="",INDEX(C285:C292,MATCH(TRUE,INDEX((C285:C292&lt;&gt;""),0),0)),C292)</f>
        <v>BOS Base</v>
      </c>
      <c r="V292" s="120">
        <f t="shared" si="44"/>
        <v>0.85716289508135401</v>
      </c>
      <c r="W292" s="122">
        <v>20000</v>
      </c>
      <c r="X292" s="120"/>
      <c r="Y292" s="120">
        <f t="shared" si="43"/>
        <v>18333</v>
      </c>
      <c r="Z292" s="121"/>
    </row>
    <row r="293" spans="1:26" ht="25" customHeight="1" outlineLevel="1" x14ac:dyDescent="0.35">
      <c r="B293" s="164"/>
      <c r="C293" s="164"/>
      <c r="D293" s="164"/>
      <c r="E293" s="3" t="s">
        <v>110</v>
      </c>
      <c r="F293" s="31" t="s">
        <v>21</v>
      </c>
      <c r="G293" s="35"/>
      <c r="H293" s="57" t="str">
        <f t="shared" si="36"/>
        <v/>
      </c>
      <c r="I293" s="57" t="str">
        <f t="shared" si="37"/>
        <v/>
      </c>
      <c r="J293" s="58" t="str">
        <f t="shared" si="38"/>
        <v/>
      </c>
      <c r="K293" s="3"/>
      <c r="L293" s="42"/>
      <c r="U293" s="119" t="str" cm="1">
        <f t="array" ref="U293">IF(C293="",INDEX(C286:C293,MATCH(TRUE,INDEX((C286:C293&lt;&gt;""),0),0)),C293)</f>
        <v>BOS Base</v>
      </c>
      <c r="V293" s="120">
        <f t="shared" si="44"/>
        <v>0.85716289508135401</v>
      </c>
      <c r="W293" s="122">
        <v>20000</v>
      </c>
      <c r="X293" s="120"/>
      <c r="Y293" s="120">
        <f t="shared" si="43"/>
        <v>18333</v>
      </c>
      <c r="Z293" s="121"/>
    </row>
    <row r="294" spans="1:26" ht="25" customHeight="1" outlineLevel="1" x14ac:dyDescent="0.35">
      <c r="B294" s="164"/>
      <c r="C294" s="164"/>
      <c r="D294" s="164"/>
      <c r="E294" s="3" t="s">
        <v>106</v>
      </c>
      <c r="F294" s="31" t="s">
        <v>21</v>
      </c>
      <c r="G294" s="35"/>
      <c r="H294" s="57" t="str">
        <f t="shared" si="36"/>
        <v/>
      </c>
      <c r="I294" s="57" t="str">
        <f t="shared" si="37"/>
        <v/>
      </c>
      <c r="J294" s="58" t="str">
        <f t="shared" si="38"/>
        <v/>
      </c>
      <c r="K294" s="3"/>
      <c r="L294" s="42"/>
      <c r="U294" s="119" t="str" cm="1">
        <f t="array" ref="U294">IF(C294="",INDEX(C288:C294,MATCH(TRUE,INDEX((C288:C294&lt;&gt;""),0),0)),C294)</f>
        <v>BOS Base</v>
      </c>
      <c r="V294" s="120">
        <f t="shared" si="44"/>
        <v>0.85716289508135401</v>
      </c>
      <c r="W294" s="122">
        <v>20000</v>
      </c>
      <c r="X294" s="120"/>
      <c r="Y294" s="120">
        <f t="shared" si="43"/>
        <v>18333</v>
      </c>
      <c r="Z294" s="121"/>
    </row>
    <row r="295" spans="1:26" ht="25" customHeight="1" outlineLevel="1" x14ac:dyDescent="0.35">
      <c r="B295" s="165"/>
      <c r="C295" s="165"/>
      <c r="D295" s="165"/>
      <c r="E295" s="4" t="s">
        <v>14</v>
      </c>
      <c r="F295" s="31" t="s">
        <v>105</v>
      </c>
      <c r="G295" s="39"/>
      <c r="H295" s="65" t="str">
        <f t="shared" si="36"/>
        <v/>
      </c>
      <c r="I295" s="65" t="str">
        <f t="shared" si="37"/>
        <v/>
      </c>
      <c r="J295" s="66" t="str">
        <f t="shared" si="38"/>
        <v/>
      </c>
      <c r="K295" s="4"/>
      <c r="L295" s="43" t="s">
        <v>318</v>
      </c>
      <c r="U295" s="119" t="str" cm="1">
        <f t="array" ref="U295">IF(C295="",INDEX(C289:C295,MATCH(TRUE,INDEX((C289:C295&lt;&gt;""),0),0)),C295)</f>
        <v>BOS Base</v>
      </c>
      <c r="V295" s="120">
        <f t="shared" si="44"/>
        <v>0.85716289508135401</v>
      </c>
      <c r="W295" s="122">
        <v>20000</v>
      </c>
      <c r="X295" s="120"/>
      <c r="Y295" s="120">
        <f t="shared" si="43"/>
        <v>18333</v>
      </c>
      <c r="Z295" s="121"/>
    </row>
    <row r="296" spans="1:26" ht="30" customHeight="1" x14ac:dyDescent="0.35">
      <c r="A296" s="8" t="s">
        <v>133</v>
      </c>
      <c r="B296" s="160">
        <v>48</v>
      </c>
      <c r="C296" s="160" t="s">
        <v>77</v>
      </c>
      <c r="D296" s="160" t="s">
        <v>72</v>
      </c>
      <c r="E296" s="27" t="s">
        <v>102</v>
      </c>
      <c r="F296" s="32"/>
      <c r="G296" s="37"/>
      <c r="H296" s="61" t="str">
        <f t="shared" si="36"/>
        <v/>
      </c>
      <c r="I296" s="61" t="str">
        <f t="shared" si="37"/>
        <v/>
      </c>
      <c r="J296" s="62" t="str">
        <f t="shared" si="38"/>
        <v/>
      </c>
      <c r="K296" s="6"/>
      <c r="L296" s="44"/>
      <c r="U296" s="119" t="str" cm="1">
        <f t="array" ref="U296">IF(C296="",INDEX(C290:C296,MATCH(TRUE,INDEX((C290:C296&lt;&gt;""),0),0)),C296)</f>
        <v>BOS Patience</v>
      </c>
      <c r="V296" s="120">
        <f t="shared" si="44"/>
        <v>1.1714512810922013</v>
      </c>
      <c r="W296" s="122">
        <v>20000</v>
      </c>
      <c r="X296" s="120"/>
      <c r="Y296" s="120">
        <f t="shared" si="43"/>
        <v>25055</v>
      </c>
      <c r="Z296" s="121"/>
    </row>
    <row r="297" spans="1:26" ht="25" customHeight="1" outlineLevel="1" x14ac:dyDescent="0.35">
      <c r="B297" s="161"/>
      <c r="C297" s="161"/>
      <c r="D297" s="161"/>
      <c r="E297" s="6" t="s">
        <v>13</v>
      </c>
      <c r="F297" s="32" t="s">
        <v>17</v>
      </c>
      <c r="G297" s="37">
        <v>43101</v>
      </c>
      <c r="H297" s="61">
        <f t="shared" si="36"/>
        <v>12885.964092014214</v>
      </c>
      <c r="I297" s="61">
        <f t="shared" si="37"/>
        <v>3748.6440994950444</v>
      </c>
      <c r="J297" s="62">
        <f t="shared" si="38"/>
        <v>74.972881989900884</v>
      </c>
      <c r="K297" s="6"/>
      <c r="L297" s="45"/>
      <c r="U297" s="119" t="str" cm="1">
        <f t="array" ref="U297">IF(C297="",INDEX(C291:C297,MATCH(TRUE,INDEX((C291:C297&lt;&gt;""),0),0)),C297)</f>
        <v>BOS Patience</v>
      </c>
      <c r="V297" s="120">
        <f t="shared" si="44"/>
        <v>1.1714512810922013</v>
      </c>
      <c r="W297" s="122">
        <v>20000</v>
      </c>
      <c r="X297" s="120"/>
      <c r="Y297" s="120">
        <f t="shared" si="43"/>
        <v>25055</v>
      </c>
      <c r="Z297" s="121"/>
    </row>
    <row r="298" spans="1:26" ht="25" customHeight="1" outlineLevel="1" x14ac:dyDescent="0.35">
      <c r="B298" s="161"/>
      <c r="C298" s="161"/>
      <c r="D298" s="161"/>
      <c r="E298" s="6" t="s">
        <v>110</v>
      </c>
      <c r="F298" s="32" t="s">
        <v>21</v>
      </c>
      <c r="G298" s="37"/>
      <c r="H298" s="61" t="str">
        <f t="shared" si="36"/>
        <v/>
      </c>
      <c r="I298" s="61" t="str">
        <f t="shared" si="37"/>
        <v/>
      </c>
      <c r="J298" s="62" t="str">
        <f t="shared" si="38"/>
        <v/>
      </c>
      <c r="K298" s="6"/>
      <c r="L298" s="45"/>
      <c r="U298" s="119" t="str" cm="1">
        <f t="array" ref="U298">IF(C298="",INDEX(C292:C298,MATCH(TRUE,INDEX((C292:C298&lt;&gt;""),0),0)),C298)</f>
        <v>BOS Patience</v>
      </c>
      <c r="V298" s="120">
        <f t="shared" si="44"/>
        <v>1.1714512810922013</v>
      </c>
      <c r="W298" s="122">
        <v>20000</v>
      </c>
      <c r="X298" s="120"/>
      <c r="Y298" s="120">
        <f t="shared" si="43"/>
        <v>25055</v>
      </c>
      <c r="Z298" s="121"/>
    </row>
    <row r="299" spans="1:26" ht="25" customHeight="1" outlineLevel="1" x14ac:dyDescent="0.35">
      <c r="B299" s="161"/>
      <c r="C299" s="161"/>
      <c r="D299" s="161"/>
      <c r="E299" s="6" t="s">
        <v>109</v>
      </c>
      <c r="F299" s="32" t="s">
        <v>21</v>
      </c>
      <c r="G299" s="37">
        <v>43101</v>
      </c>
      <c r="H299" s="61" t="str">
        <f t="shared" si="36"/>
        <v/>
      </c>
      <c r="I299" s="61" t="str">
        <f t="shared" si="37"/>
        <v/>
      </c>
      <c r="J299" s="62" t="str">
        <f t="shared" si="38"/>
        <v/>
      </c>
      <c r="K299" s="6"/>
      <c r="L299" s="45" t="s">
        <v>160</v>
      </c>
      <c r="U299" s="119" t="str" cm="1">
        <f t="array" ref="U299">IF(C299="",INDEX(C293:C299,MATCH(TRUE,INDEX((C293:C299&lt;&gt;""),0),0)),C299)</f>
        <v>BOS Patience</v>
      </c>
      <c r="V299" s="120">
        <f t="shared" si="44"/>
        <v>1.1714512810922013</v>
      </c>
      <c r="W299" s="122">
        <v>20000</v>
      </c>
      <c r="X299" s="120"/>
      <c r="Y299" s="120">
        <f t="shared" si="43"/>
        <v>25055</v>
      </c>
      <c r="Z299" s="121"/>
    </row>
    <row r="300" spans="1:26" ht="25" customHeight="1" outlineLevel="1" x14ac:dyDescent="0.35">
      <c r="B300" s="161"/>
      <c r="C300" s="161"/>
      <c r="D300" s="161"/>
      <c r="E300" s="6" t="s">
        <v>309</v>
      </c>
      <c r="F300" s="32" t="s">
        <v>21</v>
      </c>
      <c r="G300" s="37"/>
      <c r="H300" s="61" t="str">
        <f t="shared" si="36"/>
        <v/>
      </c>
      <c r="I300" s="61" t="str">
        <f t="shared" si="37"/>
        <v/>
      </c>
      <c r="J300" s="62" t="str">
        <f t="shared" si="38"/>
        <v/>
      </c>
      <c r="K300" s="6"/>
      <c r="L300" s="45"/>
      <c r="U300" s="119" t="str" cm="1">
        <f t="array" ref="U300">IF(C300="",INDEX(C294:C300,MATCH(TRUE,INDEX((C294:C300&lt;&gt;""),0),0)),C300)</f>
        <v>BOS Patience</v>
      </c>
      <c r="V300" s="120">
        <f t="shared" si="44"/>
        <v>1.1714512810922013</v>
      </c>
      <c r="W300" s="122">
        <v>20000</v>
      </c>
      <c r="X300" s="120"/>
      <c r="Y300" s="120">
        <f t="shared" si="43"/>
        <v>25055</v>
      </c>
      <c r="Z300" s="121"/>
    </row>
    <row r="301" spans="1:26" ht="25" customHeight="1" outlineLevel="1" x14ac:dyDescent="0.35">
      <c r="B301" s="161"/>
      <c r="C301" s="161"/>
      <c r="D301" s="161"/>
      <c r="E301" s="6" t="s">
        <v>106</v>
      </c>
      <c r="F301" s="32" t="s">
        <v>17</v>
      </c>
      <c r="G301" s="37">
        <v>44562</v>
      </c>
      <c r="H301" s="61">
        <f t="shared" si="36"/>
        <v>9723.0456330652705</v>
      </c>
      <c r="I301" s="61">
        <f t="shared" si="37"/>
        <v>4685.8051243688051</v>
      </c>
      <c r="J301" s="62">
        <f t="shared" si="38"/>
        <v>99.573358892837106</v>
      </c>
      <c r="K301" s="6"/>
      <c r="L301" s="45" t="s">
        <v>161</v>
      </c>
      <c r="U301" s="119" t="str" cm="1">
        <f t="array" ref="U301">IF(C301="",INDEX(C294:C301,MATCH(TRUE,INDEX((C294:C301&lt;&gt;""),0),0)),C301)</f>
        <v>BOS Patience</v>
      </c>
      <c r="V301" s="120">
        <f t="shared" si="44"/>
        <v>1.1714512810922013</v>
      </c>
      <c r="W301" s="122">
        <v>20000</v>
      </c>
      <c r="X301" s="120"/>
      <c r="Y301" s="120">
        <f t="shared" si="43"/>
        <v>25055</v>
      </c>
      <c r="Z301" s="121"/>
    </row>
    <row r="302" spans="1:26" ht="25" customHeight="1" outlineLevel="1" x14ac:dyDescent="0.35">
      <c r="B302" s="162"/>
      <c r="C302" s="162"/>
      <c r="D302" s="162"/>
      <c r="E302" s="7" t="s">
        <v>14</v>
      </c>
      <c r="F302" s="32" t="s">
        <v>32</v>
      </c>
      <c r="G302" s="37"/>
      <c r="H302" s="61" t="str">
        <f t="shared" si="36"/>
        <v/>
      </c>
      <c r="I302" s="61" t="str">
        <f t="shared" si="37"/>
        <v/>
      </c>
      <c r="J302" s="62" t="str">
        <f t="shared" si="38"/>
        <v/>
      </c>
      <c r="K302" s="6"/>
      <c r="L302" s="46"/>
      <c r="U302" s="119" t="str" cm="1">
        <f t="array" ref="U302">IF(C302="",INDEX(C295:C302,MATCH(TRUE,INDEX((C295:C302&lt;&gt;""),0),0)),C302)</f>
        <v>BOS Patience</v>
      </c>
      <c r="V302" s="120">
        <f t="shared" si="44"/>
        <v>1.1714512810922013</v>
      </c>
      <c r="W302" s="122">
        <v>20000</v>
      </c>
      <c r="X302" s="120"/>
      <c r="Y302" s="120">
        <f t="shared" si="43"/>
        <v>25055</v>
      </c>
      <c r="Z302" s="121"/>
    </row>
    <row r="303" spans="1:26" ht="30" customHeight="1" x14ac:dyDescent="0.35">
      <c r="A303" s="8" t="s">
        <v>133</v>
      </c>
      <c r="B303" s="163">
        <v>49</v>
      </c>
      <c r="C303" s="163" t="s">
        <v>78</v>
      </c>
      <c r="D303" s="163" t="s">
        <v>72</v>
      </c>
      <c r="E303" s="26" t="s">
        <v>102</v>
      </c>
      <c r="F303" s="31"/>
      <c r="G303" s="34"/>
      <c r="H303" s="55" t="str">
        <f t="shared" si="36"/>
        <v/>
      </c>
      <c r="I303" s="55" t="str">
        <f t="shared" si="37"/>
        <v/>
      </c>
      <c r="J303" s="56" t="str">
        <f t="shared" si="38"/>
        <v/>
      </c>
      <c r="K303" s="2"/>
      <c r="L303" s="41"/>
      <c r="U303" s="119" t="str" cm="1">
        <f t="array" ref="U303">IF(C303="",INDEX(C296:C303,MATCH(TRUE,INDEX((C296:C303&lt;&gt;""),0),0)),C303)</f>
        <v>BOS Patriot</v>
      </c>
      <c r="V303" s="120">
        <f t="shared" si="44"/>
        <v>1.1714512810922013</v>
      </c>
      <c r="W303" s="122">
        <v>20000</v>
      </c>
      <c r="X303" s="120"/>
      <c r="Y303" s="120">
        <f t="shared" si="43"/>
        <v>25055</v>
      </c>
      <c r="Z303" s="121"/>
    </row>
    <row r="304" spans="1:26" ht="25" customHeight="1" outlineLevel="1" x14ac:dyDescent="0.35">
      <c r="B304" s="164"/>
      <c r="C304" s="164"/>
      <c r="D304" s="164"/>
      <c r="E304" s="3" t="s">
        <v>13</v>
      </c>
      <c r="F304" s="31" t="s">
        <v>17</v>
      </c>
      <c r="G304" s="35"/>
      <c r="H304" s="57">
        <f t="shared" si="36"/>
        <v>12885.964092014214</v>
      </c>
      <c r="I304" s="57">
        <f t="shared" si="37"/>
        <v>3748.6440994950444</v>
      </c>
      <c r="J304" s="58">
        <f t="shared" si="38"/>
        <v>74.972881989900884</v>
      </c>
      <c r="K304" s="3"/>
      <c r="L304" s="42" t="s">
        <v>267</v>
      </c>
      <c r="U304" s="119" t="str" cm="1">
        <f t="array" ref="U304">IF(C304="",INDEX(C297:C304,MATCH(TRUE,INDEX((C297:C304&lt;&gt;""),0),0)),C304)</f>
        <v>BOS Patriot</v>
      </c>
      <c r="V304" s="120">
        <f t="shared" si="44"/>
        <v>1.1714512810922013</v>
      </c>
      <c r="W304" s="122">
        <v>20000</v>
      </c>
      <c r="X304" s="120"/>
      <c r="Y304" s="120">
        <f t="shared" si="43"/>
        <v>25055</v>
      </c>
      <c r="Z304" s="121"/>
    </row>
    <row r="305" spans="1:26" ht="25" customHeight="1" outlineLevel="1" x14ac:dyDescent="0.35">
      <c r="B305" s="164"/>
      <c r="C305" s="164"/>
      <c r="D305" s="164"/>
      <c r="E305" s="3" t="s">
        <v>110</v>
      </c>
      <c r="F305" s="31" t="s">
        <v>21</v>
      </c>
      <c r="G305" s="35"/>
      <c r="H305" s="57" t="str">
        <f t="shared" si="36"/>
        <v/>
      </c>
      <c r="I305" s="57" t="str">
        <f t="shared" si="37"/>
        <v/>
      </c>
      <c r="J305" s="58" t="str">
        <f t="shared" si="38"/>
        <v/>
      </c>
      <c r="K305" s="3"/>
      <c r="L305" s="42"/>
      <c r="U305" s="119" t="str" cm="1">
        <f t="array" ref="U305">IF(C305="",INDEX(C298:C305,MATCH(TRUE,INDEX((C298:C305&lt;&gt;""),0),0)),C305)</f>
        <v>BOS Patriot</v>
      </c>
      <c r="V305" s="120">
        <f t="shared" si="44"/>
        <v>1.1714512810922013</v>
      </c>
      <c r="W305" s="122">
        <v>20000</v>
      </c>
      <c r="X305" s="120"/>
      <c r="Y305" s="120">
        <f t="shared" si="43"/>
        <v>25055</v>
      </c>
      <c r="Z305" s="121"/>
    </row>
    <row r="306" spans="1:26" ht="25" customHeight="1" outlineLevel="1" x14ac:dyDescent="0.35">
      <c r="B306" s="164"/>
      <c r="C306" s="164"/>
      <c r="D306" s="164"/>
      <c r="E306" s="3" t="s">
        <v>109</v>
      </c>
      <c r="F306" s="31" t="s">
        <v>21</v>
      </c>
      <c r="G306" s="35"/>
      <c r="H306" s="57" t="str">
        <f t="shared" si="36"/>
        <v/>
      </c>
      <c r="I306" s="57" t="str">
        <f t="shared" si="37"/>
        <v/>
      </c>
      <c r="J306" s="58" t="str">
        <f t="shared" si="38"/>
        <v/>
      </c>
      <c r="K306" s="3"/>
      <c r="L306" s="42"/>
      <c r="U306" s="119" t="str" cm="1">
        <f t="array" ref="U306">IF(C306="",INDEX(C299:C306,MATCH(TRUE,INDEX((C299:C306&lt;&gt;""),0),0)),C306)</f>
        <v>BOS Patriot</v>
      </c>
      <c r="V306" s="120">
        <f t="shared" si="44"/>
        <v>1.1714512810922013</v>
      </c>
      <c r="W306" s="122">
        <v>20000</v>
      </c>
      <c r="X306" s="120"/>
      <c r="Y306" s="120">
        <f t="shared" si="43"/>
        <v>25055</v>
      </c>
      <c r="Z306" s="121"/>
    </row>
    <row r="307" spans="1:26" ht="25" customHeight="1" outlineLevel="1" x14ac:dyDescent="0.35">
      <c r="B307" s="164"/>
      <c r="C307" s="164"/>
      <c r="D307" s="164"/>
      <c r="E307" s="3" t="s">
        <v>309</v>
      </c>
      <c r="F307" s="31" t="s">
        <v>21</v>
      </c>
      <c r="G307" s="35"/>
      <c r="H307" s="57" t="str">
        <f t="shared" si="36"/>
        <v/>
      </c>
      <c r="I307" s="57" t="str">
        <f t="shared" si="37"/>
        <v/>
      </c>
      <c r="J307" s="58" t="str">
        <f t="shared" si="38"/>
        <v/>
      </c>
      <c r="K307" s="3"/>
      <c r="L307" s="42"/>
      <c r="U307" s="119" t="str" cm="1">
        <f t="array" ref="U307">IF(C307="",INDEX(C300:C307,MATCH(TRUE,INDEX((C300:C307&lt;&gt;""),0),0)),C307)</f>
        <v>BOS Patriot</v>
      </c>
      <c r="V307" s="120">
        <f t="shared" ref="V307" si="49">MIN(Y307/21388,1.3)</f>
        <v>1.1714512810922013</v>
      </c>
      <c r="W307" s="122">
        <v>20001</v>
      </c>
      <c r="X307" s="120"/>
      <c r="Y307" s="120">
        <f t="shared" ref="Y307" si="50">INT(VLOOKUP(U307, $AB$30:$AH$101, 7, FALSE))</f>
        <v>25055</v>
      </c>
      <c r="Z307" s="121"/>
    </row>
    <row r="308" spans="1:26" ht="25" customHeight="1" outlineLevel="1" x14ac:dyDescent="0.35">
      <c r="B308" s="164"/>
      <c r="C308" s="164"/>
      <c r="D308" s="164"/>
      <c r="E308" s="3" t="s">
        <v>106</v>
      </c>
      <c r="F308" s="31" t="s">
        <v>17</v>
      </c>
      <c r="G308" s="35"/>
      <c r="H308" s="57">
        <f t="shared" si="36"/>
        <v>9723.0456330652705</v>
      </c>
      <c r="I308" s="57">
        <f t="shared" si="37"/>
        <v>4685.8051243688051</v>
      </c>
      <c r="J308" s="58">
        <f t="shared" si="38"/>
        <v>99.573358892837106</v>
      </c>
      <c r="K308" s="3"/>
      <c r="L308" s="42" t="s">
        <v>268</v>
      </c>
      <c r="U308" s="119" t="str" cm="1">
        <f t="array" ref="U308">IF(C308="",INDEX(C301:C308,MATCH(TRUE,INDEX((C301:C308&lt;&gt;""),0),0)),C308)</f>
        <v>BOS Patriot</v>
      </c>
      <c r="V308" s="120">
        <f t="shared" si="44"/>
        <v>1.1714512810922013</v>
      </c>
      <c r="W308" s="122">
        <v>20000</v>
      </c>
      <c r="X308" s="120"/>
      <c r="Y308" s="120">
        <f t="shared" si="43"/>
        <v>25055</v>
      </c>
      <c r="Z308" s="121"/>
    </row>
    <row r="309" spans="1:26" ht="25" customHeight="1" outlineLevel="1" x14ac:dyDescent="0.35">
      <c r="B309" s="165"/>
      <c r="C309" s="165"/>
      <c r="D309" s="165"/>
      <c r="E309" s="4" t="s">
        <v>14</v>
      </c>
      <c r="F309" s="31" t="s">
        <v>32</v>
      </c>
      <c r="G309" s="39"/>
      <c r="H309" s="65" t="str">
        <f t="shared" si="36"/>
        <v/>
      </c>
      <c r="I309" s="65" t="str">
        <f t="shared" si="37"/>
        <v/>
      </c>
      <c r="J309" s="66" t="str">
        <f t="shared" si="38"/>
        <v/>
      </c>
      <c r="K309" s="4"/>
      <c r="L309" s="43"/>
      <c r="U309" s="119" t="str" cm="1">
        <f t="array" ref="U309">IF(C309="",INDEX(C302:C309,MATCH(TRUE,INDEX((C302:C309&lt;&gt;""),0),0)),C309)</f>
        <v>BOS Patriot</v>
      </c>
      <c r="V309" s="120">
        <f t="shared" si="44"/>
        <v>1.1714512810922013</v>
      </c>
      <c r="W309" s="122">
        <v>20000</v>
      </c>
      <c r="X309" s="120"/>
      <c r="Y309" s="120">
        <f t="shared" si="43"/>
        <v>25055</v>
      </c>
      <c r="Z309" s="121"/>
    </row>
    <row r="310" spans="1:26" ht="30" customHeight="1" x14ac:dyDescent="0.35">
      <c r="A310" s="8" t="s">
        <v>133</v>
      </c>
      <c r="B310" s="160">
        <v>50</v>
      </c>
      <c r="C310" s="160" t="s">
        <v>79</v>
      </c>
      <c r="D310" s="160" t="s">
        <v>72</v>
      </c>
      <c r="E310" s="27" t="s">
        <v>102</v>
      </c>
      <c r="F310" s="32"/>
      <c r="G310" s="37"/>
      <c r="H310" s="61" t="str">
        <f t="shared" si="36"/>
        <v/>
      </c>
      <c r="I310" s="61" t="str">
        <f t="shared" si="37"/>
        <v/>
      </c>
      <c r="J310" s="62" t="str">
        <f t="shared" si="38"/>
        <v/>
      </c>
      <c r="K310" s="6"/>
      <c r="L310" s="44"/>
      <c r="U310" s="119" t="str" cm="1">
        <f t="array" ref="U310">IF(C310="",INDEX(C303:C310,MATCH(TRUE,INDEX((C303:C310&lt;&gt;""),0),0)),C310)</f>
        <v>BOS Precious</v>
      </c>
      <c r="V310" s="120">
        <f t="shared" si="44"/>
        <v>0.92860482513559006</v>
      </c>
      <c r="W310" s="122">
        <v>20000</v>
      </c>
      <c r="X310" s="120"/>
      <c r="Y310" s="120">
        <f t="shared" si="43"/>
        <v>19861</v>
      </c>
      <c r="Z310" s="121"/>
    </row>
    <row r="311" spans="1:26" ht="25" customHeight="1" outlineLevel="1" x14ac:dyDescent="0.35">
      <c r="B311" s="161"/>
      <c r="C311" s="161"/>
      <c r="D311" s="161"/>
      <c r="E311" s="6" t="s">
        <v>13</v>
      </c>
      <c r="F311" s="32" t="s">
        <v>17</v>
      </c>
      <c r="G311" s="37"/>
      <c r="H311" s="61">
        <f t="shared" si="36"/>
        <v>10214.653076491491</v>
      </c>
      <c r="I311" s="61">
        <f t="shared" si="37"/>
        <v>2971.5354404338882</v>
      </c>
      <c r="J311" s="62">
        <f t="shared" si="38"/>
        <v>59.430708808677764</v>
      </c>
      <c r="K311" s="6"/>
      <c r="L311" s="45"/>
      <c r="U311" s="119" t="str" cm="1">
        <f t="array" ref="U311">IF(C311="",INDEX(C304:C311,MATCH(TRUE,INDEX((C304:C311&lt;&gt;""),0),0)),C311)</f>
        <v>BOS Precious</v>
      </c>
      <c r="V311" s="120">
        <f t="shared" si="44"/>
        <v>0.92860482513559006</v>
      </c>
      <c r="W311" s="122">
        <v>20000</v>
      </c>
      <c r="X311" s="120"/>
      <c r="Y311" s="120">
        <f t="shared" si="43"/>
        <v>19861</v>
      </c>
      <c r="Z311" s="121"/>
    </row>
    <row r="312" spans="1:26" ht="25" customHeight="1" outlineLevel="1" x14ac:dyDescent="0.35">
      <c r="B312" s="161"/>
      <c r="C312" s="161"/>
      <c r="D312" s="161"/>
      <c r="E312" s="6" t="s">
        <v>110</v>
      </c>
      <c r="F312" s="32" t="s">
        <v>21</v>
      </c>
      <c r="G312" s="37"/>
      <c r="H312" s="61" t="str">
        <f t="shared" si="36"/>
        <v/>
      </c>
      <c r="I312" s="61" t="str">
        <f t="shared" si="37"/>
        <v/>
      </c>
      <c r="J312" s="62" t="str">
        <f t="shared" si="38"/>
        <v/>
      </c>
      <c r="K312" s="6"/>
      <c r="L312" s="45"/>
      <c r="U312" s="119" t="str" cm="1">
        <f t="array" ref="U312">IF(C312="",INDEX(C305:C312,MATCH(TRUE,INDEX((C305:C312&lt;&gt;""),0),0)),C312)</f>
        <v>BOS Precious</v>
      </c>
      <c r="V312" s="120">
        <f t="shared" si="44"/>
        <v>0.92860482513559006</v>
      </c>
      <c r="W312" s="122">
        <v>20000</v>
      </c>
      <c r="X312" s="120"/>
      <c r="Y312" s="120">
        <f t="shared" si="43"/>
        <v>19861</v>
      </c>
      <c r="Z312" s="121"/>
    </row>
    <row r="313" spans="1:26" ht="25" customHeight="1" outlineLevel="1" x14ac:dyDescent="0.35">
      <c r="B313" s="161"/>
      <c r="C313" s="161"/>
      <c r="D313" s="161"/>
      <c r="E313" s="6" t="s">
        <v>109</v>
      </c>
      <c r="F313" s="32" t="s">
        <v>17</v>
      </c>
      <c r="G313" s="37"/>
      <c r="H313" s="61">
        <f t="shared" si="36"/>
        <v>14857.677202169441</v>
      </c>
      <c r="I313" s="61">
        <f t="shared" si="37"/>
        <v>928.60482513559009</v>
      </c>
      <c r="J313" s="62">
        <f t="shared" si="38"/>
        <v>86.360248737609879</v>
      </c>
      <c r="K313" s="6"/>
      <c r="L313" s="45" t="s">
        <v>276</v>
      </c>
      <c r="U313" s="119" t="str" cm="1">
        <f t="array" ref="U313">IF(C313="",INDEX(C306:C313,MATCH(TRUE,INDEX((C306:C313&lt;&gt;""),0),0)),C313)</f>
        <v>BOS Precious</v>
      </c>
      <c r="V313" s="120">
        <f t="shared" si="44"/>
        <v>0.92860482513559006</v>
      </c>
      <c r="W313" s="122">
        <v>20000</v>
      </c>
      <c r="X313" s="120"/>
      <c r="Y313" s="120">
        <f t="shared" si="43"/>
        <v>19861</v>
      </c>
      <c r="Z313" s="121"/>
    </row>
    <row r="314" spans="1:26" ht="25" customHeight="1" outlineLevel="1" x14ac:dyDescent="0.35">
      <c r="B314" s="161"/>
      <c r="C314" s="161"/>
      <c r="D314" s="161"/>
      <c r="E314" s="6" t="s">
        <v>309</v>
      </c>
      <c r="F314" s="32" t="s">
        <v>21</v>
      </c>
      <c r="G314" s="37"/>
      <c r="H314" s="61" t="str">
        <f t="shared" si="36"/>
        <v/>
      </c>
      <c r="I314" s="61" t="str">
        <f t="shared" si="37"/>
        <v/>
      </c>
      <c r="J314" s="62" t="str">
        <f t="shared" si="38"/>
        <v/>
      </c>
      <c r="K314" s="6"/>
      <c r="L314" s="45"/>
      <c r="U314" s="119" t="str" cm="1">
        <f t="array" ref="U314">IF(C314="",INDEX(C307:C314,MATCH(TRUE,INDEX((C307:C314&lt;&gt;""),0),0)),C314)</f>
        <v>BOS Precious</v>
      </c>
      <c r="V314" s="120">
        <f t="shared" ref="V314" si="51">MIN(Y314/21388,1.3)</f>
        <v>0.92860482513559006</v>
      </c>
      <c r="W314" s="122">
        <v>20001</v>
      </c>
      <c r="X314" s="120"/>
      <c r="Y314" s="120">
        <f t="shared" ref="Y314" si="52">INT(VLOOKUP(U314, $AB$30:$AH$101, 7, FALSE))</f>
        <v>19861</v>
      </c>
      <c r="Z314" s="121"/>
    </row>
    <row r="315" spans="1:26" ht="25" customHeight="1" outlineLevel="1" x14ac:dyDescent="0.35">
      <c r="B315" s="161"/>
      <c r="C315" s="161"/>
      <c r="D315" s="161"/>
      <c r="E315" s="6" t="s">
        <v>106</v>
      </c>
      <c r="F315" s="32" t="s">
        <v>105</v>
      </c>
      <c r="G315" s="37"/>
      <c r="H315" s="61" t="str">
        <f t="shared" si="36"/>
        <v/>
      </c>
      <c r="I315" s="61" t="str">
        <f t="shared" si="37"/>
        <v/>
      </c>
      <c r="J315" s="62" t="str">
        <f t="shared" si="38"/>
        <v/>
      </c>
      <c r="K315" s="6"/>
      <c r="L315" s="45"/>
      <c r="U315" s="119" t="str" cm="1">
        <f t="array" ref="U315">IF(C315="",INDEX(C308:C315,MATCH(TRUE,INDEX((C308:C315&lt;&gt;""),0),0)),C315)</f>
        <v>BOS Precious</v>
      </c>
      <c r="V315" s="120">
        <f t="shared" si="44"/>
        <v>0.92860482513559006</v>
      </c>
      <c r="W315" s="122">
        <v>20000</v>
      </c>
      <c r="X315" s="120"/>
      <c r="Y315" s="120">
        <f t="shared" si="43"/>
        <v>19861</v>
      </c>
      <c r="Z315" s="121"/>
    </row>
    <row r="316" spans="1:26" ht="25" customHeight="1" outlineLevel="1" x14ac:dyDescent="0.35">
      <c r="B316" s="162"/>
      <c r="C316" s="162"/>
      <c r="D316" s="162"/>
      <c r="E316" s="7" t="s">
        <v>14</v>
      </c>
      <c r="F316" s="32" t="s">
        <v>105</v>
      </c>
      <c r="G316" s="37"/>
      <c r="H316" s="61" t="str">
        <f t="shared" si="36"/>
        <v/>
      </c>
      <c r="I316" s="61" t="str">
        <f t="shared" si="37"/>
        <v/>
      </c>
      <c r="J316" s="62" t="str">
        <f t="shared" si="38"/>
        <v/>
      </c>
      <c r="K316" s="6"/>
      <c r="L316" s="46"/>
      <c r="U316" s="119" t="str" cm="1">
        <f t="array" ref="U316">IF(C316="",INDEX(C309:C316,MATCH(TRUE,INDEX((C309:C316&lt;&gt;""),0),0)),C316)</f>
        <v>BOS Precious</v>
      </c>
      <c r="V316" s="120">
        <f t="shared" si="44"/>
        <v>0.92860482513559006</v>
      </c>
      <c r="W316" s="122">
        <v>20000</v>
      </c>
      <c r="X316" s="120"/>
      <c r="Y316" s="120">
        <f t="shared" si="43"/>
        <v>19861</v>
      </c>
      <c r="Z316" s="121"/>
    </row>
    <row r="317" spans="1:26" ht="30" customHeight="1" x14ac:dyDescent="0.35">
      <c r="A317" s="8" t="s">
        <v>133</v>
      </c>
      <c r="B317" s="163">
        <v>51</v>
      </c>
      <c r="C317" s="163" t="s">
        <v>80</v>
      </c>
      <c r="D317" s="163" t="s">
        <v>72</v>
      </c>
      <c r="E317" s="26" t="s">
        <v>102</v>
      </c>
      <c r="F317" s="31"/>
      <c r="G317" s="34"/>
      <c r="H317" s="55" t="str">
        <f t="shared" si="36"/>
        <v/>
      </c>
      <c r="I317" s="55" t="str">
        <f t="shared" si="37"/>
        <v/>
      </c>
      <c r="J317" s="56" t="str">
        <f t="shared" si="38"/>
        <v/>
      </c>
      <c r="K317" s="2"/>
      <c r="L317" s="41"/>
      <c r="U317" s="119" t="str" cm="1">
        <f t="array" ref="U317">IF(C317="",INDEX(C310:C317,MATCH(TRUE,INDEX((C310:C317&lt;&gt;""),0),0)),C317)</f>
        <v>BOS Prelude</v>
      </c>
      <c r="V317" s="120">
        <f t="shared" si="44"/>
        <v>0.92860482513559006</v>
      </c>
      <c r="W317" s="122">
        <v>20000</v>
      </c>
      <c r="X317" s="120"/>
      <c r="Y317" s="120">
        <f t="shared" si="43"/>
        <v>19861</v>
      </c>
      <c r="Z317" s="121"/>
    </row>
    <row r="318" spans="1:26" ht="25" customHeight="1" outlineLevel="1" x14ac:dyDescent="0.35">
      <c r="B318" s="164"/>
      <c r="C318" s="164"/>
      <c r="D318" s="164"/>
      <c r="E318" s="3" t="s">
        <v>13</v>
      </c>
      <c r="F318" s="31" t="s">
        <v>17</v>
      </c>
      <c r="G318" s="35"/>
      <c r="H318" s="57">
        <f t="shared" si="36"/>
        <v>10214.653076491491</v>
      </c>
      <c r="I318" s="57">
        <f t="shared" si="37"/>
        <v>2971.5354404338882</v>
      </c>
      <c r="J318" s="58">
        <f t="shared" si="38"/>
        <v>59.430708808677764</v>
      </c>
      <c r="K318" s="3"/>
      <c r="L318" s="42"/>
      <c r="U318" s="119" t="str" cm="1">
        <f t="array" ref="U318">IF(C318="",INDEX(C311:C318,MATCH(TRUE,INDEX((C311:C318&lt;&gt;""),0),0)),C318)</f>
        <v>BOS Prelude</v>
      </c>
      <c r="V318" s="120">
        <f t="shared" si="44"/>
        <v>0.92860482513559006</v>
      </c>
      <c r="W318" s="122">
        <v>20000</v>
      </c>
      <c r="X318" s="120"/>
      <c r="Y318" s="120">
        <f t="shared" si="43"/>
        <v>19861</v>
      </c>
      <c r="Z318" s="121"/>
    </row>
    <row r="319" spans="1:26" ht="25" customHeight="1" outlineLevel="1" x14ac:dyDescent="0.35">
      <c r="B319" s="164"/>
      <c r="C319" s="164"/>
      <c r="D319" s="164"/>
      <c r="E319" s="3" t="s">
        <v>110</v>
      </c>
      <c r="F319" s="31" t="s">
        <v>21</v>
      </c>
      <c r="G319" s="35"/>
      <c r="H319" s="57" t="str">
        <f t="shared" si="36"/>
        <v/>
      </c>
      <c r="I319" s="57" t="str">
        <f t="shared" si="37"/>
        <v/>
      </c>
      <c r="J319" s="58" t="str">
        <f t="shared" si="38"/>
        <v/>
      </c>
      <c r="K319" s="3"/>
      <c r="L319" s="42"/>
      <c r="U319" s="119" t="str" cm="1">
        <f t="array" ref="U319">IF(C319="",INDEX(C312:C319,MATCH(TRUE,INDEX((C312:C319&lt;&gt;""),0),0)),C319)</f>
        <v>BOS Prelude</v>
      </c>
      <c r="V319" s="120">
        <f t="shared" si="44"/>
        <v>0.92860482513559006</v>
      </c>
      <c r="W319" s="122">
        <v>20000</v>
      </c>
      <c r="X319" s="120"/>
      <c r="Y319" s="120">
        <f t="shared" si="43"/>
        <v>19861</v>
      </c>
      <c r="Z319" s="121"/>
    </row>
    <row r="320" spans="1:26" ht="25" customHeight="1" outlineLevel="1" x14ac:dyDescent="0.35">
      <c r="B320" s="164"/>
      <c r="C320" s="164"/>
      <c r="D320" s="164"/>
      <c r="E320" s="3" t="s">
        <v>109</v>
      </c>
      <c r="F320" s="31" t="s">
        <v>21</v>
      </c>
      <c r="G320" s="35"/>
      <c r="H320" s="57" t="str">
        <f t="shared" si="36"/>
        <v/>
      </c>
      <c r="I320" s="57" t="str">
        <f t="shared" si="37"/>
        <v/>
      </c>
      <c r="J320" s="58" t="str">
        <f t="shared" si="38"/>
        <v/>
      </c>
      <c r="K320" s="3"/>
      <c r="L320" s="42" t="s">
        <v>168</v>
      </c>
      <c r="U320" s="119" t="str" cm="1">
        <f t="array" ref="U320">IF(C320="",INDEX(C313:C320,MATCH(TRUE,INDEX((C313:C320&lt;&gt;""),0),0)),C320)</f>
        <v>BOS Prelude</v>
      </c>
      <c r="V320" s="120">
        <f t="shared" si="44"/>
        <v>0.92860482513559006</v>
      </c>
      <c r="W320" s="122">
        <v>20000</v>
      </c>
      <c r="X320" s="120"/>
      <c r="Y320" s="120">
        <f t="shared" si="43"/>
        <v>19861</v>
      </c>
      <c r="Z320" s="121"/>
    </row>
    <row r="321" spans="1:26" ht="25" customHeight="1" outlineLevel="1" x14ac:dyDescent="0.35">
      <c r="B321" s="164"/>
      <c r="C321" s="164"/>
      <c r="D321" s="164"/>
      <c r="E321" s="3" t="s">
        <v>299</v>
      </c>
      <c r="F321" s="31" t="s">
        <v>21</v>
      </c>
      <c r="G321" s="35"/>
      <c r="H321" s="57" t="str">
        <f t="shared" si="36"/>
        <v/>
      </c>
      <c r="I321" s="57" t="str">
        <f t="shared" si="37"/>
        <v/>
      </c>
      <c r="J321" s="58" t="str">
        <f t="shared" si="38"/>
        <v/>
      </c>
      <c r="K321" s="3"/>
      <c r="L321" s="42"/>
      <c r="U321" s="119" t="str" cm="1">
        <f t="array" ref="U321">IF(C321="",INDEX(C314:C321,MATCH(TRUE,INDEX((C314:C321&lt;&gt;""),0),0)),C321)</f>
        <v>BOS Prelude</v>
      </c>
      <c r="V321" s="120">
        <f t="shared" ref="V321" si="53">MIN(Y321/21388,1.3)</f>
        <v>0.92860482513559006</v>
      </c>
      <c r="W321" s="122">
        <v>20001</v>
      </c>
      <c r="X321" s="120"/>
      <c r="Y321" s="120">
        <f t="shared" ref="Y321" si="54">INT(VLOOKUP(U321, $AB$30:$AH$101, 7, FALSE))</f>
        <v>19861</v>
      </c>
      <c r="Z321" s="121"/>
    </row>
    <row r="322" spans="1:26" ht="25" customHeight="1" outlineLevel="1" x14ac:dyDescent="0.35">
      <c r="B322" s="164"/>
      <c r="C322" s="164"/>
      <c r="D322" s="164"/>
      <c r="E322" s="3" t="s">
        <v>106</v>
      </c>
      <c r="F322" s="31" t="s">
        <v>21</v>
      </c>
      <c r="G322" s="35"/>
      <c r="H322" s="57" t="str">
        <f t="shared" si="36"/>
        <v/>
      </c>
      <c r="I322" s="57" t="str">
        <f t="shared" si="37"/>
        <v/>
      </c>
      <c r="J322" s="58" t="str">
        <f t="shared" si="38"/>
        <v/>
      </c>
      <c r="K322" s="3"/>
      <c r="L322" s="42"/>
      <c r="U322" s="119" t="str" cm="1">
        <f t="array" ref="U322">IF(C322="",INDEX(C315:C322,MATCH(TRUE,INDEX((C315:C322&lt;&gt;""),0),0)),C322)</f>
        <v>BOS Prelude</v>
      </c>
      <c r="V322" s="120">
        <f t="shared" si="44"/>
        <v>0.92860482513559006</v>
      </c>
      <c r="W322" s="122">
        <v>20000</v>
      </c>
      <c r="X322" s="120"/>
      <c r="Y322" s="120">
        <f t="shared" si="43"/>
        <v>19861</v>
      </c>
      <c r="Z322" s="121"/>
    </row>
    <row r="323" spans="1:26" ht="25" customHeight="1" outlineLevel="1" x14ac:dyDescent="0.35">
      <c r="B323" s="165"/>
      <c r="C323" s="165"/>
      <c r="D323" s="165"/>
      <c r="E323" s="4" t="s">
        <v>14</v>
      </c>
      <c r="F323" s="31" t="s">
        <v>105</v>
      </c>
      <c r="G323" s="39"/>
      <c r="H323" s="65" t="str">
        <f t="shared" si="36"/>
        <v/>
      </c>
      <c r="I323" s="65" t="str">
        <f t="shared" si="37"/>
        <v/>
      </c>
      <c r="J323" s="66" t="str">
        <f t="shared" si="38"/>
        <v/>
      </c>
      <c r="K323" s="4"/>
      <c r="L323" s="43"/>
      <c r="U323" s="119" t="str" cm="1">
        <f t="array" ref="U323">IF(C323="",INDEX(C316:C323,MATCH(TRUE,INDEX((C316:C323&lt;&gt;""),0),0)),C323)</f>
        <v>BOS Prelude</v>
      </c>
      <c r="V323" s="120">
        <f t="shared" si="44"/>
        <v>0.92860482513559006</v>
      </c>
      <c r="W323" s="122">
        <v>20000</v>
      </c>
      <c r="X323" s="120"/>
      <c r="Y323" s="120">
        <f t="shared" si="43"/>
        <v>19861</v>
      </c>
      <c r="Z323" s="121"/>
    </row>
    <row r="324" spans="1:26" ht="30" customHeight="1" x14ac:dyDescent="0.35">
      <c r="A324" s="8" t="s">
        <v>133</v>
      </c>
      <c r="B324" s="160">
        <v>52</v>
      </c>
      <c r="C324" s="160" t="s">
        <v>81</v>
      </c>
      <c r="D324" s="160" t="s">
        <v>72</v>
      </c>
      <c r="E324" s="27" t="s">
        <v>102</v>
      </c>
      <c r="F324" s="32"/>
      <c r="G324" s="37"/>
      <c r="H324" s="61" t="str">
        <f t="shared" si="36"/>
        <v/>
      </c>
      <c r="I324" s="61" t="str">
        <f t="shared" si="37"/>
        <v/>
      </c>
      <c r="J324" s="62" t="str">
        <f t="shared" si="38"/>
        <v/>
      </c>
      <c r="K324" s="6"/>
      <c r="L324" s="44"/>
      <c r="U324" s="119" t="str" cm="1">
        <f t="array" ref="U324">IF(C324="",INDEX(C317:C324,MATCH(TRUE,INDEX((C317:C324&lt;&gt;""),0),0)),C324)</f>
        <v>BOS Prime</v>
      </c>
      <c r="V324" s="120">
        <f t="shared" si="44"/>
        <v>1</v>
      </c>
      <c r="W324" s="122">
        <v>20000</v>
      </c>
      <c r="X324" s="120"/>
      <c r="Y324" s="120">
        <f t="shared" si="43"/>
        <v>21388</v>
      </c>
      <c r="Z324" s="121"/>
    </row>
    <row r="325" spans="1:26" ht="25" customHeight="1" outlineLevel="1" x14ac:dyDescent="0.35">
      <c r="B325" s="161"/>
      <c r="C325" s="161"/>
      <c r="D325" s="161"/>
      <c r="E325" s="6" t="s">
        <v>13</v>
      </c>
      <c r="F325" s="32" t="s">
        <v>17</v>
      </c>
      <c r="G325" s="37"/>
      <c r="H325" s="61">
        <f t="shared" si="36"/>
        <v>11000</v>
      </c>
      <c r="I325" s="61">
        <f t="shared" si="37"/>
        <v>3200</v>
      </c>
      <c r="J325" s="62">
        <f t="shared" si="38"/>
        <v>64</v>
      </c>
      <c r="K325" s="6"/>
      <c r="L325" s="45"/>
      <c r="U325" s="119" t="str" cm="1">
        <f t="array" ref="U325">IF(C325="",INDEX(C318:C325,MATCH(TRUE,INDEX((C318:C325&lt;&gt;""),0),0)),C325)</f>
        <v>BOS Prime</v>
      </c>
      <c r="V325" s="120">
        <f t="shared" si="44"/>
        <v>1</v>
      </c>
      <c r="W325" s="122">
        <v>20000</v>
      </c>
      <c r="X325" s="120"/>
      <c r="Y325" s="120">
        <f t="shared" si="43"/>
        <v>21388</v>
      </c>
      <c r="Z325" s="121"/>
    </row>
    <row r="326" spans="1:26" ht="25" customHeight="1" outlineLevel="1" x14ac:dyDescent="0.35">
      <c r="B326" s="161"/>
      <c r="C326" s="161"/>
      <c r="D326" s="161"/>
      <c r="E326" s="6" t="s">
        <v>110</v>
      </c>
      <c r="F326" s="32" t="s">
        <v>21</v>
      </c>
      <c r="G326" s="37"/>
      <c r="H326" s="61" t="str">
        <f t="shared" si="36"/>
        <v/>
      </c>
      <c r="I326" s="61" t="str">
        <f t="shared" si="37"/>
        <v/>
      </c>
      <c r="J326" s="62" t="str">
        <f t="shared" si="38"/>
        <v/>
      </c>
      <c r="K326" s="6"/>
      <c r="L326" s="45"/>
      <c r="U326" s="119" t="str" cm="1">
        <f t="array" ref="U326">IF(C326="",INDEX(C319:C326,MATCH(TRUE,INDEX((C319:C326&lt;&gt;""),0),0)),C326)</f>
        <v>BOS Prime</v>
      </c>
      <c r="V326" s="120">
        <f t="shared" si="44"/>
        <v>1</v>
      </c>
      <c r="W326" s="122">
        <v>20000</v>
      </c>
      <c r="X326" s="120"/>
      <c r="Y326" s="120">
        <f t="shared" si="43"/>
        <v>21388</v>
      </c>
      <c r="Z326" s="121"/>
    </row>
    <row r="327" spans="1:26" ht="25" customHeight="1" outlineLevel="1" x14ac:dyDescent="0.35">
      <c r="B327" s="161"/>
      <c r="C327" s="161"/>
      <c r="D327" s="161"/>
      <c r="E327" s="6" t="s">
        <v>290</v>
      </c>
      <c r="F327" s="32" t="s">
        <v>17</v>
      </c>
      <c r="G327" s="37"/>
      <c r="H327" s="61">
        <f t="shared" si="36"/>
        <v>2500</v>
      </c>
      <c r="I327" s="61">
        <f t="shared" si="37"/>
        <v>5000</v>
      </c>
      <c r="J327" s="62">
        <f t="shared" si="38"/>
        <v>14</v>
      </c>
      <c r="K327" s="6"/>
      <c r="L327" s="45"/>
      <c r="U327" s="119" t="str" cm="1">
        <f t="array" ref="U327">IF(C327="",INDEX(C320:C327,MATCH(TRUE,INDEX((C320:C327&lt;&gt;""),0),0)),C327)</f>
        <v>BOS Prime</v>
      </c>
      <c r="V327" s="120">
        <f t="shared" ref="V327" si="55">MIN(Y327/21388,1.3)</f>
        <v>1</v>
      </c>
      <c r="W327" s="122">
        <v>20001</v>
      </c>
      <c r="X327" s="120"/>
      <c r="Y327" s="120">
        <f t="shared" ref="Y327" si="56">INT(VLOOKUP(U327, $AB$30:$AH$101, 7, FALSE))</f>
        <v>21388</v>
      </c>
      <c r="Z327" s="121"/>
    </row>
    <row r="328" spans="1:26" ht="25" customHeight="1" outlineLevel="1" x14ac:dyDescent="0.35">
      <c r="B328" s="161"/>
      <c r="C328" s="161"/>
      <c r="D328" s="161"/>
      <c r="E328" s="6" t="s">
        <v>109</v>
      </c>
      <c r="F328" s="32" t="s">
        <v>17</v>
      </c>
      <c r="G328" s="37"/>
      <c r="H328" s="61">
        <f t="shared" si="36"/>
        <v>16000</v>
      </c>
      <c r="I328" s="61">
        <f t="shared" si="37"/>
        <v>1000</v>
      </c>
      <c r="J328" s="62">
        <f t="shared" si="38"/>
        <v>93</v>
      </c>
      <c r="K328" s="6"/>
      <c r="L328" s="45" t="s">
        <v>289</v>
      </c>
      <c r="U328" s="119" t="str" cm="1">
        <f t="array" ref="U328">IF(C328="",INDEX(C320:C328,MATCH(TRUE,INDEX((C320:C328&lt;&gt;""),0),0)),C328)</f>
        <v>BOS Prime</v>
      </c>
      <c r="V328" s="120">
        <f t="shared" si="44"/>
        <v>1</v>
      </c>
      <c r="W328" s="122">
        <v>20000</v>
      </c>
      <c r="X328" s="120"/>
      <c r="Y328" s="120">
        <f t="shared" si="43"/>
        <v>21388</v>
      </c>
      <c r="Z328" s="121"/>
    </row>
    <row r="329" spans="1:26" ht="25" customHeight="1" outlineLevel="1" x14ac:dyDescent="0.35">
      <c r="B329" s="161"/>
      <c r="C329" s="161"/>
      <c r="D329" s="161"/>
      <c r="E329" s="6" t="s">
        <v>299</v>
      </c>
      <c r="F329" s="32" t="s">
        <v>105</v>
      </c>
      <c r="G329" s="37"/>
      <c r="H329" s="61" t="str">
        <f t="shared" si="36"/>
        <v/>
      </c>
      <c r="I329" s="61" t="str">
        <f t="shared" si="37"/>
        <v/>
      </c>
      <c r="J329" s="62" t="str">
        <f t="shared" si="38"/>
        <v/>
      </c>
      <c r="K329" s="6"/>
      <c r="L329" s="45"/>
      <c r="U329" s="119" t="str" cm="1">
        <f t="array" ref="U329">IF(C329="",INDEX(C321:C329,MATCH(TRUE,INDEX((C321:C329&lt;&gt;""),0),0)),C329)</f>
        <v>BOS Prime</v>
      </c>
      <c r="V329" s="120">
        <f t="shared" ref="V329" si="57">MIN(Y329/21388,1.3)</f>
        <v>1</v>
      </c>
      <c r="W329" s="122">
        <v>20001</v>
      </c>
      <c r="X329" s="120"/>
      <c r="Y329" s="120">
        <f t="shared" ref="Y329" si="58">INT(VLOOKUP(U329, $AB$30:$AH$101, 7, FALSE))</f>
        <v>21388</v>
      </c>
      <c r="Z329" s="121"/>
    </row>
    <row r="330" spans="1:26" ht="25" customHeight="1" outlineLevel="1" x14ac:dyDescent="0.35">
      <c r="B330" s="161"/>
      <c r="C330" s="161"/>
      <c r="D330" s="161"/>
      <c r="E330" s="6" t="s">
        <v>106</v>
      </c>
      <c r="F330" s="32" t="s">
        <v>21</v>
      </c>
      <c r="G330" s="37"/>
      <c r="H330" s="61" t="str">
        <f t="shared" ref="H330:H393" si="59">IF(F330="Done", V330*VLOOKUP(E330, $AB$3:$AC$16, 2, FALSE), "")</f>
        <v/>
      </c>
      <c r="I330" s="61" t="str">
        <f t="shared" ref="I330:I393" si="60">IF(F330="Done", V330*VLOOKUP(E330, $AB$3:$AD$16, 3, FALSE), "")</f>
        <v/>
      </c>
      <c r="J330" s="62" t="str">
        <f t="shared" ref="J330:J393" si="61">IF(F330="Done", V330*VLOOKUP(E330, $AB$3:$AE$16, 4, FALSE), "")</f>
        <v/>
      </c>
      <c r="K330" s="6"/>
      <c r="L330" s="45"/>
      <c r="U330" s="119" t="str" cm="1">
        <f t="array" ref="U330">IF(C330="",INDEX(C322:C330,MATCH(TRUE,INDEX((C322:C330&lt;&gt;""),0),0)),C330)</f>
        <v>BOS Prime</v>
      </c>
      <c r="V330" s="120">
        <f t="shared" si="44"/>
        <v>1</v>
      </c>
      <c r="W330" s="122">
        <v>20000</v>
      </c>
      <c r="X330" s="120"/>
      <c r="Y330" s="120">
        <f t="shared" si="43"/>
        <v>21388</v>
      </c>
      <c r="Z330" s="121"/>
    </row>
    <row r="331" spans="1:26" ht="25" customHeight="1" outlineLevel="1" x14ac:dyDescent="0.35">
      <c r="B331" s="162"/>
      <c r="C331" s="162"/>
      <c r="D331" s="162"/>
      <c r="E331" s="7" t="s">
        <v>14</v>
      </c>
      <c r="F331" s="32" t="s">
        <v>17</v>
      </c>
      <c r="G331" s="37"/>
      <c r="H331" s="61">
        <f t="shared" si="59"/>
        <v>1500</v>
      </c>
      <c r="I331" s="61">
        <f t="shared" si="60"/>
        <v>6200</v>
      </c>
      <c r="J331" s="62">
        <f t="shared" si="61"/>
        <v>8</v>
      </c>
      <c r="K331" s="6"/>
      <c r="L331" s="46"/>
      <c r="U331" s="119" t="str" cm="1">
        <f t="array" ref="U331">IF(C331="",INDEX(C323:C331,MATCH(TRUE,INDEX((C323:C331&lt;&gt;""),0),0)),C331)</f>
        <v>BOS Prime</v>
      </c>
      <c r="V331" s="120">
        <f t="shared" si="44"/>
        <v>1</v>
      </c>
      <c r="W331" s="122">
        <v>20000</v>
      </c>
      <c r="X331" s="120"/>
      <c r="Y331" s="120">
        <f t="shared" si="43"/>
        <v>21388</v>
      </c>
      <c r="Z331" s="121"/>
    </row>
    <row r="332" spans="1:26" ht="30" customHeight="1" x14ac:dyDescent="0.35">
      <c r="A332" s="8" t="s">
        <v>133</v>
      </c>
      <c r="B332" s="163">
        <v>53</v>
      </c>
      <c r="C332" s="163" t="s">
        <v>82</v>
      </c>
      <c r="D332" s="163" t="s">
        <v>72</v>
      </c>
      <c r="E332" s="26" t="s">
        <v>102</v>
      </c>
      <c r="F332" s="31"/>
      <c r="G332" s="34"/>
      <c r="H332" s="55" t="str">
        <f t="shared" si="59"/>
        <v/>
      </c>
      <c r="I332" s="55" t="str">
        <f t="shared" si="60"/>
        <v/>
      </c>
      <c r="J332" s="56" t="str">
        <f t="shared" si="61"/>
        <v/>
      </c>
      <c r="K332" s="163" t="s">
        <v>140</v>
      </c>
      <c r="L332" s="41"/>
      <c r="U332" s="119" t="str" cm="1">
        <f t="array" ref="U332">IF(C332="",INDEX(C324:C332,MATCH(TRUE,INDEX((C324:C332&lt;&gt;""),0),0)),C332)</f>
        <v>BOS Prince</v>
      </c>
      <c r="V332" s="120">
        <f t="shared" si="44"/>
        <v>1</v>
      </c>
      <c r="W332" s="122">
        <v>20000</v>
      </c>
      <c r="X332" s="120"/>
      <c r="Y332" s="120">
        <f t="shared" si="43"/>
        <v>21388</v>
      </c>
      <c r="Z332" s="121"/>
    </row>
    <row r="333" spans="1:26" ht="25" customHeight="1" outlineLevel="1" x14ac:dyDescent="0.35">
      <c r="B333" s="164"/>
      <c r="C333" s="164"/>
      <c r="D333" s="164"/>
      <c r="E333" s="3" t="s">
        <v>13</v>
      </c>
      <c r="F333" s="31" t="s">
        <v>17</v>
      </c>
      <c r="G333" s="35"/>
      <c r="H333" s="57">
        <f t="shared" si="59"/>
        <v>11000</v>
      </c>
      <c r="I333" s="57">
        <f t="shared" si="60"/>
        <v>3200</v>
      </c>
      <c r="J333" s="58">
        <f t="shared" si="61"/>
        <v>64</v>
      </c>
      <c r="K333" s="164"/>
      <c r="L333" s="42"/>
      <c r="U333" s="119" t="str" cm="1">
        <f t="array" ref="U333">IF(C333="",INDEX(C325:C333,MATCH(TRUE,INDEX((C325:C333&lt;&gt;""),0),0)),C333)</f>
        <v>BOS Prince</v>
      </c>
      <c r="V333" s="120">
        <f t="shared" si="44"/>
        <v>1</v>
      </c>
      <c r="W333" s="122">
        <v>20000</v>
      </c>
      <c r="X333" s="120"/>
      <c r="Y333" s="120">
        <f t="shared" si="43"/>
        <v>21388</v>
      </c>
      <c r="Z333" s="121"/>
    </row>
    <row r="334" spans="1:26" ht="25" customHeight="1" outlineLevel="1" x14ac:dyDescent="0.35">
      <c r="B334" s="164"/>
      <c r="C334" s="164"/>
      <c r="D334" s="164"/>
      <c r="E334" s="3" t="s">
        <v>110</v>
      </c>
      <c r="F334" s="31" t="s">
        <v>21</v>
      </c>
      <c r="G334" s="35"/>
      <c r="H334" s="57" t="str">
        <f t="shared" si="59"/>
        <v/>
      </c>
      <c r="I334" s="57" t="str">
        <f t="shared" si="60"/>
        <v/>
      </c>
      <c r="J334" s="58" t="str">
        <f t="shared" si="61"/>
        <v/>
      </c>
      <c r="K334" s="164"/>
      <c r="L334" s="42"/>
      <c r="U334" s="119" t="str" cm="1">
        <f t="array" ref="U334">IF(C334="",INDEX(C326:C334,MATCH(TRUE,INDEX((C326:C334&lt;&gt;""),0),0)),C334)</f>
        <v>BOS Prince</v>
      </c>
      <c r="V334" s="120">
        <f t="shared" si="44"/>
        <v>1</v>
      </c>
      <c r="W334" s="122">
        <v>20000</v>
      </c>
      <c r="X334" s="120"/>
      <c r="Y334" s="120">
        <f t="shared" si="43"/>
        <v>21388</v>
      </c>
      <c r="Z334" s="121"/>
    </row>
    <row r="335" spans="1:26" ht="25" customHeight="1" outlineLevel="1" x14ac:dyDescent="0.35">
      <c r="B335" s="164"/>
      <c r="C335" s="164"/>
      <c r="D335" s="164"/>
      <c r="E335" s="3" t="s">
        <v>290</v>
      </c>
      <c r="F335" s="31" t="s">
        <v>17</v>
      </c>
      <c r="G335" s="35"/>
      <c r="H335" s="57">
        <f t="shared" si="59"/>
        <v>2500</v>
      </c>
      <c r="I335" s="57">
        <f t="shared" si="60"/>
        <v>5000</v>
      </c>
      <c r="J335" s="58">
        <f t="shared" si="61"/>
        <v>14</v>
      </c>
      <c r="K335" s="164"/>
      <c r="L335" s="42"/>
      <c r="U335" s="119" t="str" cm="1">
        <f t="array" ref="U335">IF(C335="",INDEX(C327:C335,MATCH(TRUE,INDEX((C327:C335&lt;&gt;""),0),0)),C335)</f>
        <v>BOS Prince</v>
      </c>
      <c r="V335" s="120">
        <f t="shared" ref="V335" si="62">MIN(Y335/21388,1.3)</f>
        <v>1</v>
      </c>
      <c r="W335" s="122">
        <v>20001</v>
      </c>
      <c r="X335" s="120"/>
      <c r="Y335" s="120">
        <f t="shared" ref="Y335" si="63">INT(VLOOKUP(U335, $AB$30:$AH$101, 7, FALSE))</f>
        <v>21388</v>
      </c>
      <c r="Z335" s="121"/>
    </row>
    <row r="336" spans="1:26" ht="25" customHeight="1" outlineLevel="1" x14ac:dyDescent="0.35">
      <c r="B336" s="164"/>
      <c r="C336" s="164"/>
      <c r="D336" s="164"/>
      <c r="E336" s="3" t="s">
        <v>109</v>
      </c>
      <c r="F336" s="31" t="s">
        <v>17</v>
      </c>
      <c r="G336" s="35"/>
      <c r="H336" s="57">
        <f t="shared" si="59"/>
        <v>16000</v>
      </c>
      <c r="I336" s="57">
        <f t="shared" si="60"/>
        <v>1000</v>
      </c>
      <c r="J336" s="58">
        <f t="shared" si="61"/>
        <v>93</v>
      </c>
      <c r="K336" s="164"/>
      <c r="L336" s="42" t="s">
        <v>138</v>
      </c>
      <c r="U336" s="119" t="str" cm="1">
        <f t="array" ref="U336">IF(C336="",INDEX(C328:C336,MATCH(TRUE,INDEX((C328:C336&lt;&gt;""),0),0)),C336)</f>
        <v>BOS Prince</v>
      </c>
      <c r="V336" s="120">
        <f t="shared" si="44"/>
        <v>1</v>
      </c>
      <c r="W336" s="122">
        <v>20000</v>
      </c>
      <c r="X336" s="120"/>
      <c r="Y336" s="120">
        <f t="shared" si="43"/>
        <v>21388</v>
      </c>
      <c r="Z336" s="121"/>
    </row>
    <row r="337" spans="1:26" ht="25" customHeight="1" outlineLevel="1" x14ac:dyDescent="0.35">
      <c r="B337" s="164"/>
      <c r="C337" s="164"/>
      <c r="D337" s="164"/>
      <c r="E337" s="3" t="s">
        <v>106</v>
      </c>
      <c r="F337" s="31" t="s">
        <v>21</v>
      </c>
      <c r="G337" s="35"/>
      <c r="H337" s="57" t="str">
        <f t="shared" si="59"/>
        <v/>
      </c>
      <c r="I337" s="57" t="str">
        <f t="shared" si="60"/>
        <v/>
      </c>
      <c r="J337" s="58" t="str">
        <f t="shared" si="61"/>
        <v/>
      </c>
      <c r="K337" s="164"/>
      <c r="L337" s="42"/>
      <c r="U337" s="119" t="str" cm="1">
        <f t="array" ref="U337">IF(C337="",INDEX(C330:C337,MATCH(TRUE,INDEX((C330:C337&lt;&gt;""),0),0)),C337)</f>
        <v>BOS Prince</v>
      </c>
      <c r="V337" s="120">
        <f t="shared" si="44"/>
        <v>1</v>
      </c>
      <c r="W337" s="122">
        <v>20000</v>
      </c>
      <c r="X337" s="120"/>
      <c r="Y337" s="120">
        <f t="shared" si="43"/>
        <v>21388</v>
      </c>
      <c r="Z337" s="121"/>
    </row>
    <row r="338" spans="1:26" ht="25" customHeight="1" outlineLevel="1" x14ac:dyDescent="0.35">
      <c r="B338" s="165"/>
      <c r="C338" s="165"/>
      <c r="D338" s="165"/>
      <c r="E338" s="4" t="s">
        <v>14</v>
      </c>
      <c r="F338" s="31" t="s">
        <v>17</v>
      </c>
      <c r="G338" s="39"/>
      <c r="H338" s="65">
        <f t="shared" si="59"/>
        <v>1500</v>
      </c>
      <c r="I338" s="65">
        <f t="shared" si="60"/>
        <v>6200</v>
      </c>
      <c r="J338" s="66">
        <f t="shared" si="61"/>
        <v>8</v>
      </c>
      <c r="K338" s="165"/>
      <c r="L338" s="43"/>
      <c r="U338" s="119" t="str" cm="1">
        <f t="array" ref="U338">IF(C338="",INDEX(C331:C338,MATCH(TRUE,INDEX((C331:C338&lt;&gt;""),0),0)),C338)</f>
        <v>BOS Prince</v>
      </c>
      <c r="V338" s="120">
        <f t="shared" si="44"/>
        <v>1</v>
      </c>
      <c r="W338" s="122">
        <v>20000</v>
      </c>
      <c r="X338" s="120"/>
      <c r="Y338" s="120">
        <f t="shared" si="43"/>
        <v>21388</v>
      </c>
      <c r="Z338" s="121"/>
    </row>
    <row r="339" spans="1:26" ht="30" customHeight="1" x14ac:dyDescent="0.35">
      <c r="A339" s="8" t="s">
        <v>133</v>
      </c>
      <c r="B339" s="160">
        <v>54</v>
      </c>
      <c r="C339" s="160" t="s">
        <v>83</v>
      </c>
      <c r="D339" s="160" t="s">
        <v>72</v>
      </c>
      <c r="E339" s="27" t="s">
        <v>102</v>
      </c>
      <c r="F339" s="32"/>
      <c r="G339" s="37"/>
      <c r="H339" s="61" t="str">
        <f t="shared" si="59"/>
        <v/>
      </c>
      <c r="I339" s="61" t="str">
        <f t="shared" si="60"/>
        <v/>
      </c>
      <c r="J339" s="62" t="str">
        <f t="shared" si="61"/>
        <v/>
      </c>
      <c r="K339" s="160" t="s">
        <v>173</v>
      </c>
      <c r="L339" s="44"/>
      <c r="U339" s="119" t="str" cm="1">
        <f t="array" ref="U339">IF(C339="",INDEX(C332:C339,MATCH(TRUE,INDEX((C332:C339&lt;&gt;""),0),0)),C339)</f>
        <v>BOS Principle</v>
      </c>
      <c r="V339" s="120">
        <f t="shared" si="44"/>
        <v>1</v>
      </c>
      <c r="W339" s="122">
        <v>20000</v>
      </c>
      <c r="X339" s="120"/>
      <c r="Y339" s="120">
        <f t="shared" si="43"/>
        <v>21388</v>
      </c>
      <c r="Z339" s="121"/>
    </row>
    <row r="340" spans="1:26" ht="25" customHeight="1" outlineLevel="1" x14ac:dyDescent="0.35">
      <c r="B340" s="161"/>
      <c r="C340" s="161"/>
      <c r="D340" s="161"/>
      <c r="E340" s="6" t="s">
        <v>13</v>
      </c>
      <c r="F340" s="32" t="s">
        <v>17</v>
      </c>
      <c r="G340" s="37"/>
      <c r="H340" s="61">
        <f t="shared" si="59"/>
        <v>11000</v>
      </c>
      <c r="I340" s="61">
        <f t="shared" si="60"/>
        <v>3200</v>
      </c>
      <c r="J340" s="62">
        <f t="shared" si="61"/>
        <v>64</v>
      </c>
      <c r="K340" s="161"/>
      <c r="L340" s="45"/>
      <c r="U340" s="119" t="str" cm="1">
        <f t="array" ref="U340">IF(C340="",INDEX(C333:C340,MATCH(TRUE,INDEX((C333:C340&lt;&gt;""),0),0)),C340)</f>
        <v>BOS Principle</v>
      </c>
      <c r="V340" s="120">
        <f t="shared" si="44"/>
        <v>1</v>
      </c>
      <c r="W340" s="122">
        <v>20000</v>
      </c>
      <c r="X340" s="120"/>
      <c r="Y340" s="120">
        <f t="shared" si="43"/>
        <v>21388</v>
      </c>
      <c r="Z340" s="121"/>
    </row>
    <row r="341" spans="1:26" ht="25" customHeight="1" outlineLevel="1" x14ac:dyDescent="0.35">
      <c r="B341" s="161"/>
      <c r="C341" s="161"/>
      <c r="D341" s="161"/>
      <c r="E341" s="6" t="s">
        <v>110</v>
      </c>
      <c r="F341" s="32" t="s">
        <v>21</v>
      </c>
      <c r="G341" s="37"/>
      <c r="H341" s="61" t="str">
        <f t="shared" si="59"/>
        <v/>
      </c>
      <c r="I341" s="61" t="str">
        <f t="shared" si="60"/>
        <v/>
      </c>
      <c r="J341" s="62" t="str">
        <f t="shared" si="61"/>
        <v/>
      </c>
      <c r="K341" s="161"/>
      <c r="L341" s="45"/>
      <c r="U341" s="119" t="str" cm="1">
        <f t="array" ref="U341">IF(C341="",INDEX(C334:C341,MATCH(TRUE,INDEX((C334:C341&lt;&gt;""),0),0)),C341)</f>
        <v>BOS Principle</v>
      </c>
      <c r="V341" s="120">
        <f t="shared" si="44"/>
        <v>1</v>
      </c>
      <c r="W341" s="122">
        <v>20000</v>
      </c>
      <c r="X341" s="120"/>
      <c r="Y341" s="120">
        <f t="shared" si="43"/>
        <v>21388</v>
      </c>
      <c r="Z341" s="121"/>
    </row>
    <row r="342" spans="1:26" ht="25" customHeight="1" outlineLevel="1" x14ac:dyDescent="0.35">
      <c r="B342" s="161"/>
      <c r="C342" s="161"/>
      <c r="D342" s="161"/>
      <c r="E342" s="6" t="s">
        <v>109</v>
      </c>
      <c r="F342" s="32" t="s">
        <v>17</v>
      </c>
      <c r="G342" s="37"/>
      <c r="H342" s="61">
        <f t="shared" si="59"/>
        <v>16000</v>
      </c>
      <c r="I342" s="61">
        <f t="shared" si="60"/>
        <v>1000</v>
      </c>
      <c r="J342" s="62">
        <f t="shared" si="61"/>
        <v>93</v>
      </c>
      <c r="K342" s="161"/>
      <c r="L342" s="45" t="s">
        <v>289</v>
      </c>
      <c r="U342" s="119" t="str" cm="1">
        <f t="array" ref="U342">IF(C342="",INDEX(C336:C342,MATCH(TRUE,INDEX((C336:C342&lt;&gt;""),0),0)),C342)</f>
        <v>BOS Principle</v>
      </c>
      <c r="V342" s="120">
        <f t="shared" si="44"/>
        <v>1</v>
      </c>
      <c r="W342" s="122">
        <v>20000</v>
      </c>
      <c r="X342" s="120"/>
      <c r="Y342" s="120">
        <f t="shared" si="43"/>
        <v>21388</v>
      </c>
      <c r="Z342" s="121"/>
    </row>
    <row r="343" spans="1:26" ht="25" customHeight="1" outlineLevel="1" x14ac:dyDescent="0.35">
      <c r="B343" s="161"/>
      <c r="C343" s="161"/>
      <c r="D343" s="161"/>
      <c r="E343" s="6" t="s">
        <v>309</v>
      </c>
      <c r="F343" s="32" t="s">
        <v>21</v>
      </c>
      <c r="G343" s="37"/>
      <c r="H343" s="61" t="str">
        <f t="shared" si="59"/>
        <v/>
      </c>
      <c r="I343" s="61" t="str">
        <f t="shared" si="60"/>
        <v/>
      </c>
      <c r="J343" s="62" t="str">
        <f t="shared" si="61"/>
        <v/>
      </c>
      <c r="K343" s="161"/>
      <c r="L343" s="45"/>
      <c r="U343" s="119" t="str" cm="1">
        <f t="array" ref="U343">IF(C343="",INDEX(C337:C343,MATCH(TRUE,INDEX((C337:C343&lt;&gt;""),0),0)),C343)</f>
        <v>BOS Principle</v>
      </c>
      <c r="V343" s="120">
        <f t="shared" ref="V343" si="64">MIN(Y343/21388,1.3)</f>
        <v>1</v>
      </c>
      <c r="W343" s="122">
        <v>20001</v>
      </c>
      <c r="X343" s="120"/>
      <c r="Y343" s="120">
        <f t="shared" ref="Y343" si="65">INT(VLOOKUP(U343, $AB$30:$AH$101, 7, FALSE))</f>
        <v>21388</v>
      </c>
      <c r="Z343" s="121"/>
    </row>
    <row r="344" spans="1:26" ht="25" customHeight="1" outlineLevel="1" x14ac:dyDescent="0.35">
      <c r="B344" s="161"/>
      <c r="C344" s="161"/>
      <c r="D344" s="161"/>
      <c r="E344" s="6" t="s">
        <v>299</v>
      </c>
      <c r="F344" s="32" t="s">
        <v>105</v>
      </c>
      <c r="G344" s="37"/>
      <c r="H344" s="61" t="str">
        <f t="shared" si="59"/>
        <v/>
      </c>
      <c r="I344" s="61" t="str">
        <f t="shared" si="60"/>
        <v/>
      </c>
      <c r="J344" s="62" t="str">
        <f t="shared" si="61"/>
        <v/>
      </c>
      <c r="K344" s="161"/>
      <c r="L344" s="45"/>
      <c r="U344" s="119" t="str" cm="1">
        <f t="array" ref="U344">IF(C344="",INDEX(C338:C344,MATCH(TRUE,INDEX((C338:C344&lt;&gt;""),0),0)),C344)</f>
        <v>BOS Principle</v>
      </c>
      <c r="V344" s="120">
        <f t="shared" ref="V344" si="66">MIN(Y344/21388,1.3)</f>
        <v>1</v>
      </c>
      <c r="W344" s="122">
        <v>20002</v>
      </c>
      <c r="X344" s="120"/>
      <c r="Y344" s="120">
        <f t="shared" ref="Y344" si="67">INT(VLOOKUP(U344, $AB$30:$AH$101, 7, FALSE))</f>
        <v>21388</v>
      </c>
      <c r="Z344" s="121"/>
    </row>
    <row r="345" spans="1:26" ht="25" customHeight="1" outlineLevel="1" x14ac:dyDescent="0.35">
      <c r="B345" s="161"/>
      <c r="C345" s="161"/>
      <c r="D345" s="161"/>
      <c r="E345" s="6" t="s">
        <v>106</v>
      </c>
      <c r="F345" s="32" t="s">
        <v>21</v>
      </c>
      <c r="G345" s="37"/>
      <c r="H345" s="61" t="str">
        <f t="shared" si="59"/>
        <v/>
      </c>
      <c r="I345" s="61" t="str">
        <f t="shared" si="60"/>
        <v/>
      </c>
      <c r="J345" s="62" t="str">
        <f t="shared" si="61"/>
        <v/>
      </c>
      <c r="K345" s="161"/>
      <c r="L345" s="45"/>
      <c r="U345" s="119" t="str" cm="1">
        <f t="array" ref="U345">IF(C345="",INDEX(C337:C345,MATCH(TRUE,INDEX((C337:C345&lt;&gt;""),0),0)),C345)</f>
        <v>BOS Principle</v>
      </c>
      <c r="V345" s="120">
        <f t="shared" si="44"/>
        <v>1</v>
      </c>
      <c r="W345" s="122">
        <v>20000</v>
      </c>
      <c r="X345" s="120"/>
      <c r="Y345" s="120">
        <f t="shared" si="43"/>
        <v>21388</v>
      </c>
      <c r="Z345" s="121"/>
    </row>
    <row r="346" spans="1:26" ht="25" customHeight="1" outlineLevel="1" x14ac:dyDescent="0.35">
      <c r="B346" s="162"/>
      <c r="C346" s="162"/>
      <c r="D346" s="162"/>
      <c r="E346" s="7" t="s">
        <v>14</v>
      </c>
      <c r="F346" s="32" t="s">
        <v>17</v>
      </c>
      <c r="G346" s="37">
        <v>45666</v>
      </c>
      <c r="H346" s="61">
        <f t="shared" si="59"/>
        <v>1500</v>
      </c>
      <c r="I346" s="61">
        <f t="shared" si="60"/>
        <v>6200</v>
      </c>
      <c r="J346" s="62">
        <f t="shared" si="61"/>
        <v>8</v>
      </c>
      <c r="K346" s="162"/>
      <c r="L346" s="46"/>
      <c r="U346" s="119" t="str" cm="1">
        <f t="array" ref="U346">IF(C346="",INDEX(C338:C346,MATCH(TRUE,INDEX((C338:C346&lt;&gt;""),0),0)),C346)</f>
        <v>BOS Principle</v>
      </c>
      <c r="V346" s="120">
        <f t="shared" si="44"/>
        <v>1</v>
      </c>
      <c r="W346" s="122">
        <v>20000</v>
      </c>
      <c r="X346" s="120"/>
      <c r="Y346" s="120">
        <f t="shared" si="43"/>
        <v>21388</v>
      </c>
      <c r="Z346" s="121"/>
    </row>
    <row r="347" spans="1:26" ht="30" customHeight="1" x14ac:dyDescent="0.35">
      <c r="A347" s="8" t="s">
        <v>133</v>
      </c>
      <c r="B347" s="163">
        <v>55</v>
      </c>
      <c r="C347" s="163" t="s">
        <v>84</v>
      </c>
      <c r="D347" s="163" t="s">
        <v>72</v>
      </c>
      <c r="E347" s="26" t="s">
        <v>102</v>
      </c>
      <c r="F347" s="31"/>
      <c r="G347" s="34"/>
      <c r="H347" s="55" t="str">
        <f t="shared" si="59"/>
        <v/>
      </c>
      <c r="I347" s="55" t="str">
        <f t="shared" si="60"/>
        <v/>
      </c>
      <c r="J347" s="56" t="str">
        <f t="shared" si="61"/>
        <v/>
      </c>
      <c r="K347" s="2"/>
      <c r="L347" s="41"/>
      <c r="U347" s="119" t="str" cm="1">
        <f t="array" ref="U347">IF(C347="",INDEX(C339:C347,MATCH(TRUE,INDEX((C339:C347&lt;&gt;""),0),0)),C347)</f>
        <v>BOS Prudence</v>
      </c>
      <c r="V347" s="120">
        <f t="shared" si="44"/>
        <v>0.94286515803254156</v>
      </c>
      <c r="W347" s="122">
        <v>20000</v>
      </c>
      <c r="X347" s="120"/>
      <c r="Y347" s="120">
        <f t="shared" si="43"/>
        <v>20166</v>
      </c>
      <c r="Z347" s="121"/>
    </row>
    <row r="348" spans="1:26" ht="25" customHeight="1" outlineLevel="1" x14ac:dyDescent="0.35">
      <c r="B348" s="164"/>
      <c r="C348" s="164"/>
      <c r="D348" s="164"/>
      <c r="E348" s="3" t="s">
        <v>13</v>
      </c>
      <c r="F348" s="31" t="s">
        <v>17</v>
      </c>
      <c r="G348" s="35"/>
      <c r="H348" s="57">
        <f t="shared" si="59"/>
        <v>10371.516738357957</v>
      </c>
      <c r="I348" s="57">
        <f t="shared" si="60"/>
        <v>3017.1685057041332</v>
      </c>
      <c r="J348" s="58">
        <f t="shared" si="61"/>
        <v>60.34337011408266</v>
      </c>
      <c r="K348" s="3"/>
      <c r="L348" s="42" t="s">
        <v>178</v>
      </c>
      <c r="U348" s="119" t="str" cm="1">
        <f t="array" ref="U348">IF(C348="",INDEX(C340:C348,MATCH(TRUE,INDEX((C340:C348&lt;&gt;""),0),0)),C348)</f>
        <v>BOS Prudence</v>
      </c>
      <c r="V348" s="120">
        <f t="shared" si="44"/>
        <v>0.94286515803254156</v>
      </c>
      <c r="W348" s="122">
        <v>20000</v>
      </c>
      <c r="X348" s="120"/>
      <c r="Y348" s="120">
        <f t="shared" si="43"/>
        <v>20166</v>
      </c>
      <c r="Z348" s="121"/>
    </row>
    <row r="349" spans="1:26" ht="25" customHeight="1" outlineLevel="1" x14ac:dyDescent="0.35">
      <c r="B349" s="164"/>
      <c r="C349" s="164"/>
      <c r="D349" s="164"/>
      <c r="E349" s="3" t="s">
        <v>110</v>
      </c>
      <c r="F349" s="31" t="s">
        <v>21</v>
      </c>
      <c r="G349" s="35"/>
      <c r="H349" s="57" t="str">
        <f t="shared" si="59"/>
        <v/>
      </c>
      <c r="I349" s="57" t="str">
        <f t="shared" si="60"/>
        <v/>
      </c>
      <c r="J349" s="58" t="str">
        <f t="shared" si="61"/>
        <v/>
      </c>
      <c r="K349" s="3"/>
      <c r="L349" s="42"/>
      <c r="U349" s="119" t="str" cm="1">
        <f t="array" ref="U349">IF(C349="",INDEX(C341:C349,MATCH(TRUE,INDEX((C341:C349&lt;&gt;""),0),0)),C349)</f>
        <v>BOS Prudence</v>
      </c>
      <c r="V349" s="120">
        <f t="shared" si="44"/>
        <v>0.94286515803254156</v>
      </c>
      <c r="W349" s="122">
        <v>20000</v>
      </c>
      <c r="X349" s="120"/>
      <c r="Y349" s="120">
        <f t="shared" si="43"/>
        <v>20166</v>
      </c>
      <c r="Z349" s="121"/>
    </row>
    <row r="350" spans="1:26" ht="25" customHeight="1" outlineLevel="1" x14ac:dyDescent="0.35">
      <c r="B350" s="164"/>
      <c r="C350" s="164"/>
      <c r="D350" s="164"/>
      <c r="E350" s="3" t="s">
        <v>109</v>
      </c>
      <c r="F350" s="31" t="s">
        <v>17</v>
      </c>
      <c r="G350" s="35"/>
      <c r="H350" s="57">
        <f t="shared" si="59"/>
        <v>15085.842528520665</v>
      </c>
      <c r="I350" s="57">
        <f t="shared" si="60"/>
        <v>942.86515803254156</v>
      </c>
      <c r="J350" s="58">
        <f t="shared" si="61"/>
        <v>87.686459697026365</v>
      </c>
      <c r="K350" s="3"/>
      <c r="L350" s="42" t="s">
        <v>179</v>
      </c>
      <c r="U350" s="119" t="str" cm="1">
        <f t="array" ref="U350">IF(C350="",INDEX(C342:C350,MATCH(TRUE,INDEX((C342:C350&lt;&gt;""),0),0)),C350)</f>
        <v>BOS Prudence</v>
      </c>
      <c r="V350" s="120">
        <f t="shared" si="44"/>
        <v>0.94286515803254156</v>
      </c>
      <c r="W350" s="122">
        <v>20000</v>
      </c>
      <c r="X350" s="120"/>
      <c r="Y350" s="120">
        <f t="shared" si="43"/>
        <v>20166</v>
      </c>
      <c r="Z350" s="121"/>
    </row>
    <row r="351" spans="1:26" ht="25" customHeight="1" outlineLevel="1" x14ac:dyDescent="0.35">
      <c r="B351" s="164"/>
      <c r="C351" s="164"/>
      <c r="D351" s="164"/>
      <c r="E351" s="3" t="s">
        <v>106</v>
      </c>
      <c r="F351" s="31" t="s">
        <v>21</v>
      </c>
      <c r="G351" s="35"/>
      <c r="H351" s="57" t="str">
        <f t="shared" si="59"/>
        <v/>
      </c>
      <c r="I351" s="57" t="str">
        <f t="shared" si="60"/>
        <v/>
      </c>
      <c r="J351" s="58" t="str">
        <f t="shared" si="61"/>
        <v/>
      </c>
      <c r="K351" s="3"/>
      <c r="L351" s="42"/>
      <c r="U351" s="119" t="str" cm="1">
        <f t="array" ref="U351">IF(C351="",INDEX(C345:C351,MATCH(TRUE,INDEX((C345:C351&lt;&gt;""),0),0)),C351)</f>
        <v>BOS Prudence</v>
      </c>
      <c r="V351" s="120">
        <f t="shared" si="44"/>
        <v>0.94286515803254156</v>
      </c>
      <c r="W351" s="122">
        <v>20000</v>
      </c>
      <c r="X351" s="120"/>
      <c r="Y351" s="120">
        <f t="shared" ref="Y351:Y422" si="68">INT(VLOOKUP(U351, $AB$30:$AH$101, 7, FALSE))</f>
        <v>20166</v>
      </c>
      <c r="Z351" s="121"/>
    </row>
    <row r="352" spans="1:26" ht="25" customHeight="1" outlineLevel="1" x14ac:dyDescent="0.35">
      <c r="B352" s="165"/>
      <c r="C352" s="165"/>
      <c r="D352" s="165"/>
      <c r="E352" s="4" t="s">
        <v>14</v>
      </c>
      <c r="F352" s="31" t="s">
        <v>17</v>
      </c>
      <c r="G352" s="39">
        <v>45666</v>
      </c>
      <c r="H352" s="65">
        <f t="shared" si="59"/>
        <v>1414.2977370488125</v>
      </c>
      <c r="I352" s="65">
        <f t="shared" si="60"/>
        <v>5845.7639798017581</v>
      </c>
      <c r="J352" s="66">
        <f t="shared" si="61"/>
        <v>7.5429212642603325</v>
      </c>
      <c r="K352" s="4"/>
      <c r="L352" s="43" t="s">
        <v>180</v>
      </c>
      <c r="U352" s="119" t="str" cm="1">
        <f t="array" ref="U352">IF(C352="",INDEX(C346:C352,MATCH(TRUE,INDEX((C346:C352&lt;&gt;""),0),0)),C352)</f>
        <v>BOS Prudence</v>
      </c>
      <c r="V352" s="120">
        <f t="shared" ref="V352:V423" si="69">MIN(Y352/21388,1.3)</f>
        <v>0.94286515803254156</v>
      </c>
      <c r="W352" s="122">
        <v>20000</v>
      </c>
      <c r="X352" s="120"/>
      <c r="Y352" s="120">
        <f t="shared" si="68"/>
        <v>20166</v>
      </c>
      <c r="Z352" s="121"/>
    </row>
    <row r="353" spans="1:26" ht="30" customHeight="1" x14ac:dyDescent="0.35">
      <c r="A353" s="8" t="s">
        <v>133</v>
      </c>
      <c r="B353" s="160">
        <v>56</v>
      </c>
      <c r="C353" s="160" t="s">
        <v>85</v>
      </c>
      <c r="D353" s="160" t="s">
        <v>72</v>
      </c>
      <c r="E353" s="27" t="s">
        <v>102</v>
      </c>
      <c r="F353" s="32"/>
      <c r="G353" s="37"/>
      <c r="H353" s="61" t="str">
        <f t="shared" si="59"/>
        <v/>
      </c>
      <c r="I353" s="61" t="str">
        <f t="shared" si="60"/>
        <v/>
      </c>
      <c r="J353" s="62" t="str">
        <f t="shared" si="61"/>
        <v/>
      </c>
      <c r="K353" s="6"/>
      <c r="L353" s="44"/>
      <c r="U353" s="119" t="str" cm="1">
        <f t="array" ref="U353">IF(C353="",INDEX(C347:C353,MATCH(TRUE,INDEX((C347:C353&lt;&gt;""),0),0)),C353)</f>
        <v>BOS Purpose</v>
      </c>
      <c r="V353" s="120">
        <f t="shared" si="69"/>
        <v>0.94286515803254156</v>
      </c>
      <c r="W353" s="122">
        <v>20000</v>
      </c>
      <c r="X353" s="120"/>
      <c r="Y353" s="120">
        <f t="shared" si="68"/>
        <v>20166</v>
      </c>
      <c r="Z353" s="121"/>
    </row>
    <row r="354" spans="1:26" ht="25" customHeight="1" outlineLevel="1" x14ac:dyDescent="0.35">
      <c r="B354" s="161"/>
      <c r="C354" s="161"/>
      <c r="D354" s="161"/>
      <c r="E354" s="6" t="s">
        <v>13</v>
      </c>
      <c r="F354" s="32" t="s">
        <v>17</v>
      </c>
      <c r="G354" s="37"/>
      <c r="H354" s="61">
        <f t="shared" si="59"/>
        <v>10371.516738357957</v>
      </c>
      <c r="I354" s="61">
        <f t="shared" si="60"/>
        <v>3017.1685057041332</v>
      </c>
      <c r="J354" s="62">
        <f t="shared" si="61"/>
        <v>60.34337011408266</v>
      </c>
      <c r="K354" s="6"/>
      <c r="L354" s="45"/>
      <c r="U354" s="119" t="str" cm="1">
        <f t="array" ref="U354">IF(C354="",INDEX(C348:C354,MATCH(TRUE,INDEX((C348:C354&lt;&gt;""),0),0)),C354)</f>
        <v>BOS Purpose</v>
      </c>
      <c r="V354" s="120">
        <f t="shared" si="69"/>
        <v>0.94286515803254156</v>
      </c>
      <c r="W354" s="122">
        <v>20000</v>
      </c>
      <c r="X354" s="120"/>
      <c r="Y354" s="120">
        <f t="shared" si="68"/>
        <v>20166</v>
      </c>
      <c r="Z354" s="121"/>
    </row>
    <row r="355" spans="1:26" ht="25" customHeight="1" outlineLevel="1" x14ac:dyDescent="0.35">
      <c r="B355" s="161"/>
      <c r="C355" s="161"/>
      <c r="D355" s="161"/>
      <c r="E355" s="6" t="s">
        <v>110</v>
      </c>
      <c r="F355" s="32" t="s">
        <v>21</v>
      </c>
      <c r="G355" s="37"/>
      <c r="H355" s="61" t="str">
        <f t="shared" si="59"/>
        <v/>
      </c>
      <c r="I355" s="61" t="str">
        <f t="shared" si="60"/>
        <v/>
      </c>
      <c r="J355" s="62" t="str">
        <f t="shared" si="61"/>
        <v/>
      </c>
      <c r="K355" s="6"/>
      <c r="L355" s="45"/>
      <c r="U355" s="119" t="str" cm="1">
        <f t="array" ref="U355">IF(C355="",INDEX(C349:C355,MATCH(TRUE,INDEX((C349:C355&lt;&gt;""),0),0)),C355)</f>
        <v>BOS Purpose</v>
      </c>
      <c r="V355" s="120">
        <f t="shared" si="69"/>
        <v>0.94286515803254156</v>
      </c>
      <c r="W355" s="122">
        <v>20000</v>
      </c>
      <c r="X355" s="120"/>
      <c r="Y355" s="120">
        <f t="shared" si="68"/>
        <v>20166</v>
      </c>
      <c r="Z355" s="121"/>
    </row>
    <row r="356" spans="1:26" ht="25" customHeight="1" outlineLevel="1" x14ac:dyDescent="0.35">
      <c r="B356" s="161"/>
      <c r="C356" s="161"/>
      <c r="D356" s="161"/>
      <c r="E356" s="6" t="s">
        <v>109</v>
      </c>
      <c r="F356" s="32" t="s">
        <v>21</v>
      </c>
      <c r="G356" s="37"/>
      <c r="H356" s="61" t="str">
        <f t="shared" si="59"/>
        <v/>
      </c>
      <c r="I356" s="61" t="str">
        <f t="shared" si="60"/>
        <v/>
      </c>
      <c r="J356" s="62" t="str">
        <f t="shared" si="61"/>
        <v/>
      </c>
      <c r="K356" s="6"/>
      <c r="L356" s="45" t="s">
        <v>261</v>
      </c>
      <c r="U356" s="119" t="str" cm="1">
        <f t="array" ref="U356">IF(C356="",INDEX(C350:C356,MATCH(TRUE,INDEX((C350:C356&lt;&gt;""),0),0)),C356)</f>
        <v>BOS Purpose</v>
      </c>
      <c r="V356" s="120">
        <f t="shared" si="69"/>
        <v>0.94286515803254156</v>
      </c>
      <c r="W356" s="122">
        <v>20000</v>
      </c>
      <c r="X356" s="120"/>
      <c r="Y356" s="120">
        <f t="shared" si="68"/>
        <v>20166</v>
      </c>
      <c r="Z356" s="121"/>
    </row>
    <row r="357" spans="1:26" ht="25" customHeight="1" outlineLevel="1" x14ac:dyDescent="0.35">
      <c r="B357" s="161"/>
      <c r="C357" s="161"/>
      <c r="D357" s="161"/>
      <c r="E357" s="6" t="s">
        <v>309</v>
      </c>
      <c r="F357" s="32" t="s">
        <v>21</v>
      </c>
      <c r="G357" s="37"/>
      <c r="H357" s="61" t="str">
        <f t="shared" si="59"/>
        <v/>
      </c>
      <c r="I357" s="61" t="str">
        <f t="shared" si="60"/>
        <v/>
      </c>
      <c r="J357" s="62" t="str">
        <f t="shared" si="61"/>
        <v/>
      </c>
      <c r="K357" s="6"/>
      <c r="L357" s="45"/>
      <c r="U357" s="119" t="str" cm="1">
        <f t="array" ref="U357">IF(C357="",INDEX(C351:C357,MATCH(TRUE,INDEX((C351:C357&lt;&gt;""),0),0)),C357)</f>
        <v>BOS Purpose</v>
      </c>
      <c r="V357" s="120">
        <f t="shared" ref="V357:V358" si="70">MIN(Y357/21388,1.3)</f>
        <v>0.94286515803254156</v>
      </c>
      <c r="W357" s="122">
        <v>20001</v>
      </c>
      <c r="X357" s="120"/>
      <c r="Y357" s="120">
        <f t="shared" ref="Y357:Y358" si="71">INT(VLOOKUP(U357, $AB$30:$AH$101, 7, FALSE))</f>
        <v>20166</v>
      </c>
      <c r="Z357" s="121"/>
    </row>
    <row r="358" spans="1:26" ht="25" customHeight="1" outlineLevel="1" x14ac:dyDescent="0.35">
      <c r="B358" s="161"/>
      <c r="C358" s="161"/>
      <c r="D358" s="161"/>
      <c r="E358" s="6" t="s">
        <v>309</v>
      </c>
      <c r="F358" s="32" t="s">
        <v>105</v>
      </c>
      <c r="G358" s="37"/>
      <c r="H358" s="61" t="str">
        <f t="shared" si="59"/>
        <v/>
      </c>
      <c r="I358" s="61" t="str">
        <f t="shared" si="60"/>
        <v/>
      </c>
      <c r="J358" s="62" t="str">
        <f t="shared" si="61"/>
        <v/>
      </c>
      <c r="K358" s="6"/>
      <c r="L358" s="45"/>
      <c r="U358" s="119" t="str" cm="1">
        <f t="array" ref="U358">IF(C358="",INDEX(C352:C358,MATCH(TRUE,INDEX((C352:C358&lt;&gt;""),0),0)),C358)</f>
        <v>BOS Purpose</v>
      </c>
      <c r="V358" s="120">
        <f t="shared" si="70"/>
        <v>0.94286515803254156</v>
      </c>
      <c r="W358" s="122">
        <v>20002</v>
      </c>
      <c r="X358" s="120"/>
      <c r="Y358" s="120">
        <f t="shared" si="71"/>
        <v>20166</v>
      </c>
      <c r="Z358" s="121"/>
    </row>
    <row r="359" spans="1:26" ht="25" customHeight="1" outlineLevel="1" x14ac:dyDescent="0.35">
      <c r="B359" s="161"/>
      <c r="C359" s="161"/>
      <c r="D359" s="161"/>
      <c r="E359" s="6" t="s">
        <v>299</v>
      </c>
      <c r="F359" s="32" t="s">
        <v>21</v>
      </c>
      <c r="G359" s="37"/>
      <c r="H359" s="61" t="str">
        <f t="shared" si="59"/>
        <v/>
      </c>
      <c r="I359" s="61" t="str">
        <f t="shared" si="60"/>
        <v/>
      </c>
      <c r="J359" s="62" t="str">
        <f t="shared" si="61"/>
        <v/>
      </c>
      <c r="K359" s="6"/>
      <c r="L359" s="45"/>
      <c r="U359" s="119" t="str" cm="1">
        <f t="array" ref="U359">IF(C359="",INDEX(C353:C359,MATCH(TRUE,INDEX((C353:C359&lt;&gt;""),0),0)),C359)</f>
        <v>BOS Purpose</v>
      </c>
      <c r="V359" s="120">
        <f t="shared" ref="V359" si="72">MIN(Y359/21388,1.3)</f>
        <v>0.94286515803254156</v>
      </c>
      <c r="W359" s="122">
        <v>20003</v>
      </c>
      <c r="X359" s="120"/>
      <c r="Y359" s="120">
        <f t="shared" ref="Y359" si="73">INT(VLOOKUP(U359, $AB$30:$AH$101, 7, FALSE))</f>
        <v>20166</v>
      </c>
      <c r="Z359" s="121"/>
    </row>
    <row r="360" spans="1:26" ht="25" customHeight="1" outlineLevel="1" x14ac:dyDescent="0.35">
      <c r="B360" s="161"/>
      <c r="C360" s="161"/>
      <c r="D360" s="161"/>
      <c r="E360" s="6" t="s">
        <v>106</v>
      </c>
      <c r="F360" s="32" t="s">
        <v>105</v>
      </c>
      <c r="G360" s="37"/>
      <c r="H360" s="61" t="str">
        <f t="shared" si="59"/>
        <v/>
      </c>
      <c r="I360" s="61" t="str">
        <f t="shared" si="60"/>
        <v/>
      </c>
      <c r="J360" s="62" t="str">
        <f t="shared" si="61"/>
        <v/>
      </c>
      <c r="K360" s="6"/>
      <c r="L360" s="45" t="s">
        <v>260</v>
      </c>
      <c r="U360" s="119" t="str" cm="1">
        <f t="array" ref="U360">IF(C360="",INDEX(C351:C360,MATCH(TRUE,INDEX((C351:C360&lt;&gt;""),0),0)),C360)</f>
        <v>BOS Purpose</v>
      </c>
      <c r="V360" s="120">
        <f t="shared" si="69"/>
        <v>0.94286515803254156</v>
      </c>
      <c r="W360" s="122">
        <v>20000</v>
      </c>
      <c r="X360" s="120"/>
      <c r="Y360" s="120">
        <f t="shared" si="68"/>
        <v>20166</v>
      </c>
      <c r="Z360" s="121"/>
    </row>
    <row r="361" spans="1:26" ht="25" customHeight="1" outlineLevel="1" x14ac:dyDescent="0.35">
      <c r="B361" s="162"/>
      <c r="C361" s="162"/>
      <c r="D361" s="162"/>
      <c r="E361" s="7" t="s">
        <v>14</v>
      </c>
      <c r="F361" s="32" t="s">
        <v>17</v>
      </c>
      <c r="G361" s="37">
        <v>45667</v>
      </c>
      <c r="H361" s="61">
        <f t="shared" si="59"/>
        <v>1414.2977370488125</v>
      </c>
      <c r="I361" s="61">
        <f t="shared" si="60"/>
        <v>5845.7639798017581</v>
      </c>
      <c r="J361" s="62">
        <f t="shared" si="61"/>
        <v>7.5429212642603325</v>
      </c>
      <c r="K361" s="6"/>
      <c r="L361" s="46"/>
      <c r="U361" s="119" t="str" cm="1">
        <f t="array" ref="U361">IF(C361="",INDEX(C352:C361,MATCH(TRUE,INDEX((C352:C361&lt;&gt;""),0),0)),C361)</f>
        <v>BOS Purpose</v>
      </c>
      <c r="V361" s="120">
        <f t="shared" si="69"/>
        <v>0.94286515803254156</v>
      </c>
      <c r="W361" s="122">
        <v>20000</v>
      </c>
      <c r="X361" s="120"/>
      <c r="Y361" s="120">
        <f t="shared" si="68"/>
        <v>20166</v>
      </c>
      <c r="Z361" s="121"/>
    </row>
    <row r="362" spans="1:26" ht="30" customHeight="1" x14ac:dyDescent="0.35">
      <c r="A362" s="8" t="s">
        <v>133</v>
      </c>
      <c r="B362" s="163">
        <v>57</v>
      </c>
      <c r="C362" s="163" t="s">
        <v>86</v>
      </c>
      <c r="D362" s="163" t="s">
        <v>87</v>
      </c>
      <c r="E362" s="26" t="s">
        <v>102</v>
      </c>
      <c r="F362" s="31"/>
      <c r="G362" s="34"/>
      <c r="H362" s="55" t="str">
        <f t="shared" si="59"/>
        <v/>
      </c>
      <c r="I362" s="55" t="str">
        <f t="shared" si="60"/>
        <v/>
      </c>
      <c r="J362" s="56" t="str">
        <f t="shared" si="61"/>
        <v/>
      </c>
      <c r="K362" s="2"/>
      <c r="L362" s="41"/>
      <c r="U362" s="119" t="str" cm="1">
        <f t="array" ref="U362">IF(C362="",INDEX(C353:C362,MATCH(TRUE,INDEX((C353:C362&lt;&gt;""),0),0)),C362)</f>
        <v>Britoil Diamond</v>
      </c>
      <c r="V362" s="120">
        <f t="shared" si="69"/>
        <v>0.98087712736113708</v>
      </c>
      <c r="W362" s="122">
        <v>20000</v>
      </c>
      <c r="X362" s="120"/>
      <c r="Y362" s="120">
        <f t="shared" si="68"/>
        <v>20979</v>
      </c>
      <c r="Z362" s="121"/>
    </row>
    <row r="363" spans="1:26" ht="25" customHeight="1" outlineLevel="1" x14ac:dyDescent="0.35">
      <c r="B363" s="164"/>
      <c r="C363" s="164"/>
      <c r="D363" s="164"/>
      <c r="E363" s="3" t="s">
        <v>13</v>
      </c>
      <c r="F363" s="31" t="s">
        <v>17</v>
      </c>
      <c r="G363" s="35"/>
      <c r="H363" s="57">
        <f t="shared" si="59"/>
        <v>10789.648400972508</v>
      </c>
      <c r="I363" s="57">
        <f t="shared" si="60"/>
        <v>3138.8068075556384</v>
      </c>
      <c r="J363" s="58">
        <f t="shared" si="61"/>
        <v>62.776136151112773</v>
      </c>
      <c r="K363" s="3"/>
      <c r="L363" s="42" t="s">
        <v>258</v>
      </c>
      <c r="U363" s="119" t="str" cm="1">
        <f t="array" ref="U363">IF(C363="",INDEX(C354:C363,MATCH(TRUE,INDEX((C354:C363&lt;&gt;""),0),0)),C363)</f>
        <v>Britoil Diamond</v>
      </c>
      <c r="V363" s="120">
        <f t="shared" si="69"/>
        <v>0.98087712736113708</v>
      </c>
      <c r="W363" s="122">
        <v>20000</v>
      </c>
      <c r="X363" s="120"/>
      <c r="Y363" s="120">
        <f t="shared" si="68"/>
        <v>20979</v>
      </c>
      <c r="Z363" s="121"/>
    </row>
    <row r="364" spans="1:26" ht="25" customHeight="1" outlineLevel="1" x14ac:dyDescent="0.35">
      <c r="B364" s="164"/>
      <c r="C364" s="164"/>
      <c r="D364" s="164"/>
      <c r="E364" s="3" t="s">
        <v>110</v>
      </c>
      <c r="F364" s="31" t="s">
        <v>105</v>
      </c>
      <c r="G364" s="35"/>
      <c r="H364" s="57" t="str">
        <f t="shared" si="59"/>
        <v/>
      </c>
      <c r="I364" s="57" t="str">
        <f t="shared" si="60"/>
        <v/>
      </c>
      <c r="J364" s="58" t="str">
        <f t="shared" si="61"/>
        <v/>
      </c>
      <c r="K364" s="3"/>
      <c r="L364" s="42" t="s">
        <v>259</v>
      </c>
      <c r="U364" s="119" t="str" cm="1">
        <f t="array" ref="U364">IF(C364="",INDEX(C355:C364,MATCH(TRUE,INDEX((C355:C364&lt;&gt;""),0),0)),C364)</f>
        <v>Britoil Diamond</v>
      </c>
      <c r="V364" s="120">
        <f t="shared" si="69"/>
        <v>0.98087712736113708</v>
      </c>
      <c r="W364" s="122">
        <v>20000</v>
      </c>
      <c r="X364" s="120"/>
      <c r="Y364" s="120">
        <f t="shared" si="68"/>
        <v>20979</v>
      </c>
      <c r="Z364" s="121"/>
    </row>
    <row r="365" spans="1:26" ht="25" customHeight="1" outlineLevel="1" x14ac:dyDescent="0.35">
      <c r="B365" s="164"/>
      <c r="C365" s="164"/>
      <c r="D365" s="164"/>
      <c r="E365" s="3" t="s">
        <v>109</v>
      </c>
      <c r="F365" s="31" t="s">
        <v>21</v>
      </c>
      <c r="G365" s="35"/>
      <c r="H365" s="57" t="str">
        <f t="shared" si="59"/>
        <v/>
      </c>
      <c r="I365" s="57" t="str">
        <f t="shared" si="60"/>
        <v/>
      </c>
      <c r="J365" s="58" t="str">
        <f t="shared" si="61"/>
        <v/>
      </c>
      <c r="K365" s="3"/>
      <c r="L365" s="42" t="s">
        <v>257</v>
      </c>
      <c r="U365" s="119" t="str" cm="1">
        <f t="array" ref="U365">IF(C365="",INDEX(C356:C365,MATCH(TRUE,INDEX((C356:C365&lt;&gt;""),0),0)),C365)</f>
        <v>Britoil Diamond</v>
      </c>
      <c r="V365" s="120">
        <f t="shared" si="69"/>
        <v>0.98087712736113708</v>
      </c>
      <c r="W365" s="122">
        <v>20000</v>
      </c>
      <c r="X365" s="120"/>
      <c r="Y365" s="120">
        <f t="shared" si="68"/>
        <v>20979</v>
      </c>
      <c r="Z365" s="121"/>
    </row>
    <row r="366" spans="1:26" ht="25" customHeight="1" outlineLevel="1" x14ac:dyDescent="0.35">
      <c r="B366" s="164"/>
      <c r="C366" s="164"/>
      <c r="D366" s="164"/>
      <c r="E366" s="3" t="s">
        <v>290</v>
      </c>
      <c r="F366" s="31" t="s">
        <v>105</v>
      </c>
      <c r="G366" s="35"/>
      <c r="H366" s="57" t="str">
        <f t="shared" si="59"/>
        <v/>
      </c>
      <c r="I366" s="57" t="str">
        <f t="shared" si="60"/>
        <v/>
      </c>
      <c r="J366" s="58" t="str">
        <f t="shared" si="61"/>
        <v/>
      </c>
      <c r="K366" s="3"/>
      <c r="L366" s="42"/>
      <c r="U366" s="119" t="str" cm="1">
        <f t="array" ref="U366">IF(C366="",INDEX(C357:C366,MATCH(TRUE,INDEX((C357:C366&lt;&gt;""),0),0)),C366)</f>
        <v>Britoil Diamond</v>
      </c>
      <c r="V366" s="120">
        <f t="shared" ref="V366" si="74">MIN(Y366/21388,1.3)</f>
        <v>0.98087712736113708</v>
      </c>
      <c r="W366" s="122">
        <v>20001</v>
      </c>
      <c r="X366" s="120"/>
      <c r="Y366" s="120">
        <f t="shared" ref="Y366" si="75">INT(VLOOKUP(U366, $AB$30:$AH$101, 7, FALSE))</f>
        <v>20979</v>
      </c>
      <c r="Z366" s="121"/>
    </row>
    <row r="367" spans="1:26" ht="25" customHeight="1" outlineLevel="1" x14ac:dyDescent="0.35">
      <c r="B367" s="164"/>
      <c r="C367" s="164"/>
      <c r="D367" s="164"/>
      <c r="E367" s="3" t="s">
        <v>106</v>
      </c>
      <c r="F367" s="31" t="s">
        <v>17</v>
      </c>
      <c r="G367" s="35"/>
      <c r="H367" s="57">
        <f t="shared" si="59"/>
        <v>8141.280157097438</v>
      </c>
      <c r="I367" s="57">
        <f t="shared" si="60"/>
        <v>3923.5085094445485</v>
      </c>
      <c r="J367" s="58">
        <f t="shared" si="61"/>
        <v>83.374555825696646</v>
      </c>
      <c r="K367" s="3"/>
      <c r="L367" s="42" t="s">
        <v>256</v>
      </c>
      <c r="U367" s="119" t="str" cm="1">
        <f t="array" ref="U367">IF(C367="",INDEX(C360:C367,MATCH(TRUE,INDEX((C360:C367&lt;&gt;""),0),0)),C367)</f>
        <v>Britoil Diamond</v>
      </c>
      <c r="V367" s="120">
        <f t="shared" si="69"/>
        <v>0.98087712736113708</v>
      </c>
      <c r="W367" s="122">
        <v>20000</v>
      </c>
      <c r="X367" s="120"/>
      <c r="Y367" s="120">
        <f t="shared" si="68"/>
        <v>20979</v>
      </c>
      <c r="Z367" s="121"/>
    </row>
    <row r="368" spans="1:26" ht="25" customHeight="1" outlineLevel="1" x14ac:dyDescent="0.35">
      <c r="B368" s="165"/>
      <c r="C368" s="165"/>
      <c r="D368" s="165"/>
      <c r="E368" s="4" t="s">
        <v>14</v>
      </c>
      <c r="F368" s="31" t="s">
        <v>17</v>
      </c>
      <c r="G368" s="39">
        <v>45776</v>
      </c>
      <c r="H368" s="65">
        <f t="shared" si="59"/>
        <v>1471.3156910417056</v>
      </c>
      <c r="I368" s="65">
        <f t="shared" si="60"/>
        <v>6081.4381896390496</v>
      </c>
      <c r="J368" s="66">
        <f t="shared" si="61"/>
        <v>7.8470170188890966</v>
      </c>
      <c r="K368" s="4"/>
      <c r="L368" s="43"/>
      <c r="U368" s="119" t="str" cm="1">
        <f t="array" ref="U368">IF(C368="",INDEX(C361:C368,MATCH(TRUE,INDEX((C361:C368&lt;&gt;""),0),0)),C368)</f>
        <v>Britoil Diamond</v>
      </c>
      <c r="V368" s="120">
        <f t="shared" si="69"/>
        <v>0.98087712736113708</v>
      </c>
      <c r="W368" s="122">
        <v>20000</v>
      </c>
      <c r="X368" s="120"/>
      <c r="Y368" s="120">
        <f t="shared" si="68"/>
        <v>20979</v>
      </c>
      <c r="Z368" s="121"/>
    </row>
    <row r="369" spans="1:26" ht="30" customHeight="1" x14ac:dyDescent="0.35">
      <c r="A369" s="8" t="s">
        <v>133</v>
      </c>
      <c r="B369" s="160">
        <v>58</v>
      </c>
      <c r="C369" s="160" t="s">
        <v>255</v>
      </c>
      <c r="D369" s="160" t="s">
        <v>88</v>
      </c>
      <c r="E369" s="27" t="s">
        <v>102</v>
      </c>
      <c r="F369" s="32"/>
      <c r="G369" s="37"/>
      <c r="H369" s="61" t="str">
        <f t="shared" si="59"/>
        <v/>
      </c>
      <c r="I369" s="61" t="str">
        <f t="shared" si="60"/>
        <v/>
      </c>
      <c r="J369" s="62" t="str">
        <f t="shared" si="61"/>
        <v/>
      </c>
      <c r="K369" s="6"/>
      <c r="L369" s="44"/>
      <c r="U369" s="119" t="str" cm="1">
        <f t="array" ref="U369">IF(C369="",INDEX(C362:C369,MATCH(TRUE,INDEX((C362:C369&lt;&gt;""),0),0)),C369)</f>
        <v>Britoil Defender</v>
      </c>
      <c r="V369" s="120">
        <f t="shared" si="69"/>
        <v>1.2857677202169442</v>
      </c>
      <c r="W369" s="122">
        <v>20000</v>
      </c>
      <c r="X369" s="120"/>
      <c r="Y369" s="120">
        <f t="shared" si="68"/>
        <v>27500</v>
      </c>
      <c r="Z369" s="121"/>
    </row>
    <row r="370" spans="1:26" ht="25" customHeight="1" outlineLevel="1" x14ac:dyDescent="0.35">
      <c r="B370" s="161"/>
      <c r="C370" s="161"/>
      <c r="D370" s="161"/>
      <c r="E370" s="6" t="s">
        <v>13</v>
      </c>
      <c r="F370" s="32" t="s">
        <v>21</v>
      </c>
      <c r="G370" s="37"/>
      <c r="H370" s="61" t="str">
        <f t="shared" si="59"/>
        <v/>
      </c>
      <c r="I370" s="61" t="str">
        <f t="shared" si="60"/>
        <v/>
      </c>
      <c r="J370" s="62" t="str">
        <f t="shared" si="61"/>
        <v/>
      </c>
      <c r="K370" s="6"/>
      <c r="L370" s="45"/>
      <c r="U370" s="119" t="str" cm="1">
        <f t="array" ref="U370">IF(C370="",INDEX(C363:C370,MATCH(TRUE,INDEX((C363:C370&lt;&gt;""),0),0)),C370)</f>
        <v>Britoil Defender</v>
      </c>
      <c r="V370" s="120">
        <f t="shared" si="69"/>
        <v>1.2857677202169442</v>
      </c>
      <c r="W370" s="122">
        <v>20000</v>
      </c>
      <c r="X370" s="120"/>
      <c r="Y370" s="120">
        <f t="shared" si="68"/>
        <v>27500</v>
      </c>
      <c r="Z370" s="121"/>
    </row>
    <row r="371" spans="1:26" ht="25" customHeight="1" outlineLevel="1" x14ac:dyDescent="0.35">
      <c r="B371" s="161"/>
      <c r="C371" s="161"/>
      <c r="D371" s="161"/>
      <c r="E371" s="6" t="s">
        <v>110</v>
      </c>
      <c r="F371" s="32" t="s">
        <v>17</v>
      </c>
      <c r="G371" s="37"/>
      <c r="H371" s="61">
        <f t="shared" si="59"/>
        <v>0</v>
      </c>
      <c r="I371" s="61">
        <f t="shared" si="60"/>
        <v>642.88386010847205</v>
      </c>
      <c r="J371" s="62">
        <f t="shared" si="61"/>
        <v>0</v>
      </c>
      <c r="K371" s="6"/>
      <c r="L371" s="45"/>
      <c r="U371" s="119" t="str" cm="1">
        <f t="array" ref="U371">IF(C371="",INDEX(C364:C371,MATCH(TRUE,INDEX((C364:C371&lt;&gt;""),0),0)),C371)</f>
        <v>Britoil Defender</v>
      </c>
      <c r="V371" s="120">
        <f t="shared" si="69"/>
        <v>1.2857677202169442</v>
      </c>
      <c r="W371" s="122">
        <v>20000</v>
      </c>
      <c r="X371" s="120"/>
      <c r="Y371" s="120">
        <f t="shared" si="68"/>
        <v>27500</v>
      </c>
      <c r="Z371" s="121"/>
    </row>
    <row r="372" spans="1:26" ht="25" customHeight="1" outlineLevel="1" x14ac:dyDescent="0.35">
      <c r="B372" s="161"/>
      <c r="C372" s="161"/>
      <c r="D372" s="161"/>
      <c r="E372" s="6" t="s">
        <v>290</v>
      </c>
      <c r="F372" s="32" t="s">
        <v>17</v>
      </c>
      <c r="G372" s="37"/>
      <c r="H372" s="61">
        <f t="shared" si="59"/>
        <v>3214.4193005423604</v>
      </c>
      <c r="I372" s="61">
        <f t="shared" si="60"/>
        <v>6428.8386010847207</v>
      </c>
      <c r="J372" s="62">
        <f t="shared" si="61"/>
        <v>18.00074808303722</v>
      </c>
      <c r="K372" s="6"/>
      <c r="L372" s="45"/>
      <c r="U372" s="119" t="str" cm="1">
        <f t="array" ref="U372">IF(C372="",INDEX(C365:C372,MATCH(TRUE,INDEX((C365:C372&lt;&gt;""),0),0)),C372)</f>
        <v>Britoil Defender</v>
      </c>
      <c r="V372" s="120">
        <f t="shared" ref="V372" si="76">MIN(Y372/21388,1.3)</f>
        <v>1.2857677202169442</v>
      </c>
      <c r="W372" s="122">
        <v>20001</v>
      </c>
      <c r="X372" s="120"/>
      <c r="Y372" s="120">
        <f t="shared" ref="Y372" si="77">INT(VLOOKUP(U372, $AB$30:$AH$101, 7, FALSE))</f>
        <v>27500</v>
      </c>
      <c r="Z372" s="121"/>
    </row>
    <row r="373" spans="1:26" ht="25" customHeight="1" outlineLevel="1" x14ac:dyDescent="0.35">
      <c r="B373" s="161"/>
      <c r="C373" s="161"/>
      <c r="D373" s="161"/>
      <c r="E373" s="6" t="s">
        <v>109</v>
      </c>
      <c r="F373" s="32" t="s">
        <v>21</v>
      </c>
      <c r="G373" s="37"/>
      <c r="H373" s="61" t="str">
        <f t="shared" si="59"/>
        <v/>
      </c>
      <c r="I373" s="61" t="str">
        <f t="shared" si="60"/>
        <v/>
      </c>
      <c r="J373" s="62" t="str">
        <f t="shared" si="61"/>
        <v/>
      </c>
      <c r="K373" s="6"/>
      <c r="L373" s="45"/>
      <c r="U373" s="119" t="str" cm="1">
        <f t="array" ref="U373">IF(C373="",INDEX(C365:C373,MATCH(TRUE,INDEX((C365:C373&lt;&gt;""),0),0)),C373)</f>
        <v>Britoil Defender</v>
      </c>
      <c r="V373" s="120">
        <f t="shared" si="69"/>
        <v>1.2857677202169442</v>
      </c>
      <c r="W373" s="122">
        <v>20000</v>
      </c>
      <c r="X373" s="120"/>
      <c r="Y373" s="120">
        <f t="shared" si="68"/>
        <v>27500</v>
      </c>
      <c r="Z373" s="121"/>
    </row>
    <row r="374" spans="1:26" ht="25" customHeight="1" outlineLevel="1" x14ac:dyDescent="0.35">
      <c r="B374" s="161"/>
      <c r="C374" s="161"/>
      <c r="D374" s="161"/>
      <c r="E374" s="6" t="s">
        <v>106</v>
      </c>
      <c r="F374" s="32" t="s">
        <v>21</v>
      </c>
      <c r="G374" s="37"/>
      <c r="H374" s="61" t="str">
        <f t="shared" si="59"/>
        <v/>
      </c>
      <c r="I374" s="61" t="str">
        <f t="shared" si="60"/>
        <v/>
      </c>
      <c r="J374" s="62" t="str">
        <f t="shared" si="61"/>
        <v/>
      </c>
      <c r="K374" s="6"/>
      <c r="L374" s="45"/>
      <c r="U374" s="119" t="str" cm="1">
        <f t="array" ref="U374">IF(C374="",INDEX(C367:C374,MATCH(TRUE,INDEX((C367:C374&lt;&gt;""),0),0)),C374)</f>
        <v>Britoil Defender</v>
      </c>
      <c r="V374" s="120">
        <f t="shared" si="69"/>
        <v>1.2857677202169442</v>
      </c>
      <c r="W374" s="122">
        <v>20000</v>
      </c>
      <c r="X374" s="120"/>
      <c r="Y374" s="120">
        <f t="shared" si="68"/>
        <v>27500</v>
      </c>
      <c r="Z374" s="121"/>
    </row>
    <row r="375" spans="1:26" ht="25" customHeight="1" outlineLevel="1" x14ac:dyDescent="0.35">
      <c r="B375" s="162"/>
      <c r="C375" s="162"/>
      <c r="D375" s="162"/>
      <c r="E375" s="7" t="s">
        <v>14</v>
      </c>
      <c r="F375" s="32" t="s">
        <v>105</v>
      </c>
      <c r="G375" s="37"/>
      <c r="H375" s="61" t="str">
        <f t="shared" si="59"/>
        <v/>
      </c>
      <c r="I375" s="61" t="str">
        <f t="shared" si="60"/>
        <v/>
      </c>
      <c r="J375" s="62" t="str">
        <f t="shared" si="61"/>
        <v/>
      </c>
      <c r="K375" s="6"/>
      <c r="L375" s="46"/>
      <c r="U375" s="119" t="str" cm="1">
        <f t="array" ref="U375">IF(C375="",INDEX(C368:C375,MATCH(TRUE,INDEX((C368:C375&lt;&gt;""),0),0)),C375)</f>
        <v>Britoil Defender</v>
      </c>
      <c r="V375" s="120">
        <f t="shared" si="69"/>
        <v>1.2857677202169442</v>
      </c>
      <c r="W375" s="122">
        <v>20000</v>
      </c>
      <c r="X375" s="120"/>
      <c r="Y375" s="120">
        <f t="shared" si="68"/>
        <v>27500</v>
      </c>
      <c r="Z375" s="121"/>
    </row>
    <row r="376" spans="1:26" ht="30" customHeight="1" x14ac:dyDescent="0.35">
      <c r="A376" s="8" t="s">
        <v>133</v>
      </c>
      <c r="B376" s="163">
        <v>59</v>
      </c>
      <c r="C376" s="163" t="s">
        <v>89</v>
      </c>
      <c r="D376" s="163" t="s">
        <v>88</v>
      </c>
      <c r="E376" s="26" t="s">
        <v>102</v>
      </c>
      <c r="F376" s="31"/>
      <c r="G376" s="34"/>
      <c r="H376" s="55" t="str">
        <f t="shared" si="59"/>
        <v/>
      </c>
      <c r="I376" s="55" t="str">
        <f t="shared" si="60"/>
        <v/>
      </c>
      <c r="J376" s="56" t="str">
        <f t="shared" si="61"/>
        <v/>
      </c>
      <c r="K376" s="2"/>
      <c r="L376" s="41"/>
      <c r="U376" s="119" t="str" cm="1">
        <f t="array" ref="U376">IF(C376="",INDEX(C369:C376,MATCH(TRUE,INDEX((C369:C376&lt;&gt;""),0),0)),C376)</f>
        <v>Nautical Aisia</v>
      </c>
      <c r="V376" s="120">
        <f t="shared" si="69"/>
        <v>0.85716289508135401</v>
      </c>
      <c r="W376" s="122">
        <v>20000</v>
      </c>
      <c r="X376" s="120"/>
      <c r="Y376" s="120">
        <f t="shared" si="68"/>
        <v>18333</v>
      </c>
      <c r="Z376" s="121"/>
    </row>
    <row r="377" spans="1:26" ht="25" customHeight="1" outlineLevel="1" x14ac:dyDescent="0.35">
      <c r="B377" s="164"/>
      <c r="C377" s="164"/>
      <c r="D377" s="164"/>
      <c r="E377" s="3" t="s">
        <v>13</v>
      </c>
      <c r="F377" s="31" t="s">
        <v>17</v>
      </c>
      <c r="G377" s="35"/>
      <c r="H377" s="57">
        <f t="shared" si="59"/>
        <v>9428.7918458948934</v>
      </c>
      <c r="I377" s="57">
        <f t="shared" si="60"/>
        <v>2742.9212642603329</v>
      </c>
      <c r="J377" s="58">
        <f t="shared" si="61"/>
        <v>54.858425285206657</v>
      </c>
      <c r="K377" s="3"/>
      <c r="L377" s="42"/>
      <c r="U377" s="119" t="str" cm="1">
        <f t="array" ref="U377">IF(C377="",INDEX(C370:C377,MATCH(TRUE,INDEX((C370:C377&lt;&gt;""),0),0)),C377)</f>
        <v>Nautical Aisia</v>
      </c>
      <c r="V377" s="120">
        <f t="shared" si="69"/>
        <v>0.85716289508135401</v>
      </c>
      <c r="W377" s="122">
        <v>20000</v>
      </c>
      <c r="X377" s="120"/>
      <c r="Y377" s="120">
        <f t="shared" si="68"/>
        <v>18333</v>
      </c>
      <c r="Z377" s="121"/>
    </row>
    <row r="378" spans="1:26" ht="25" customHeight="1" outlineLevel="1" x14ac:dyDescent="0.35">
      <c r="B378" s="164"/>
      <c r="C378" s="164"/>
      <c r="D378" s="164"/>
      <c r="E378" s="3" t="s">
        <v>110</v>
      </c>
      <c r="F378" s="31" t="s">
        <v>32</v>
      </c>
      <c r="G378" s="35"/>
      <c r="H378" s="57" t="str">
        <f t="shared" si="59"/>
        <v/>
      </c>
      <c r="I378" s="57" t="str">
        <f t="shared" si="60"/>
        <v/>
      </c>
      <c r="J378" s="58" t="str">
        <f t="shared" si="61"/>
        <v/>
      </c>
      <c r="K378" s="3"/>
      <c r="L378" s="42"/>
      <c r="U378" s="119" t="str" cm="1">
        <f t="array" ref="U378">IF(C378="",INDEX(C371:C378,MATCH(TRUE,INDEX((C371:C378&lt;&gt;""),0),0)),C378)</f>
        <v>Nautical Aisia</v>
      </c>
      <c r="V378" s="120">
        <f t="shared" si="69"/>
        <v>0.85716289508135401</v>
      </c>
      <c r="W378" s="122">
        <v>20000</v>
      </c>
      <c r="X378" s="120"/>
      <c r="Y378" s="120">
        <f t="shared" si="68"/>
        <v>18333</v>
      </c>
      <c r="Z378" s="121"/>
    </row>
    <row r="379" spans="1:26" ht="25" customHeight="1" outlineLevel="1" x14ac:dyDescent="0.35">
      <c r="B379" s="164"/>
      <c r="C379" s="164"/>
      <c r="D379" s="164"/>
      <c r="E379" s="3" t="s">
        <v>109</v>
      </c>
      <c r="F379" s="31" t="s">
        <v>21</v>
      </c>
      <c r="G379" s="35"/>
      <c r="H379" s="57" t="str">
        <f t="shared" si="59"/>
        <v/>
      </c>
      <c r="I379" s="57" t="str">
        <f t="shared" si="60"/>
        <v/>
      </c>
      <c r="J379" s="58" t="str">
        <f t="shared" si="61"/>
        <v/>
      </c>
      <c r="K379" s="3"/>
      <c r="L379" s="42"/>
      <c r="U379" s="119" t="str" cm="1">
        <f t="array" ref="U379">IF(C379="",INDEX(C373:C379,MATCH(TRUE,INDEX((C373:C379&lt;&gt;""),0),0)),C379)</f>
        <v>Nautical Aisia</v>
      </c>
      <c r="V379" s="120">
        <f t="shared" si="69"/>
        <v>0.85716289508135401</v>
      </c>
      <c r="W379" s="122">
        <v>20000</v>
      </c>
      <c r="X379" s="120"/>
      <c r="Y379" s="120">
        <f t="shared" si="68"/>
        <v>18333</v>
      </c>
      <c r="Z379" s="121"/>
    </row>
    <row r="380" spans="1:26" ht="25" customHeight="1" outlineLevel="1" x14ac:dyDescent="0.35">
      <c r="B380" s="164"/>
      <c r="C380" s="164"/>
      <c r="D380" s="164"/>
      <c r="E380" s="3" t="s">
        <v>106</v>
      </c>
      <c r="F380" s="31" t="s">
        <v>21</v>
      </c>
      <c r="G380" s="35"/>
      <c r="H380" s="57" t="str">
        <f t="shared" si="59"/>
        <v/>
      </c>
      <c r="I380" s="57" t="str">
        <f t="shared" si="60"/>
        <v/>
      </c>
      <c r="J380" s="58" t="str">
        <f t="shared" si="61"/>
        <v/>
      </c>
      <c r="K380" s="3"/>
      <c r="L380" s="42"/>
      <c r="U380" s="119" t="str" cm="1">
        <f t="array" ref="U380">IF(C380="",INDEX(C374:C380,MATCH(TRUE,INDEX((C374:C380&lt;&gt;""),0),0)),C380)</f>
        <v>Nautical Aisia</v>
      </c>
      <c r="V380" s="120">
        <f t="shared" si="69"/>
        <v>0.85716289508135401</v>
      </c>
      <c r="W380" s="122">
        <v>20000</v>
      </c>
      <c r="X380" s="120"/>
      <c r="Y380" s="120">
        <f t="shared" si="68"/>
        <v>18333</v>
      </c>
      <c r="Z380" s="121"/>
    </row>
    <row r="381" spans="1:26" ht="25" customHeight="1" outlineLevel="1" x14ac:dyDescent="0.35">
      <c r="B381" s="165"/>
      <c r="C381" s="165"/>
      <c r="D381" s="165"/>
      <c r="E381" s="4" t="s">
        <v>14</v>
      </c>
      <c r="F381" s="31" t="s">
        <v>32</v>
      </c>
      <c r="G381" s="39"/>
      <c r="H381" s="65" t="str">
        <f t="shared" si="59"/>
        <v/>
      </c>
      <c r="I381" s="65" t="str">
        <f t="shared" si="60"/>
        <v/>
      </c>
      <c r="J381" s="66" t="str">
        <f t="shared" si="61"/>
        <v/>
      </c>
      <c r="K381" s="4"/>
      <c r="L381" s="43"/>
      <c r="U381" s="119" t="str" cm="1">
        <f t="array" ref="U381">IF(C381="",INDEX(C375:C381,MATCH(TRUE,INDEX((C375:C381&lt;&gt;""),0),0)),C381)</f>
        <v>Nautical Aisia</v>
      </c>
      <c r="V381" s="120">
        <f t="shared" si="69"/>
        <v>0.85716289508135401</v>
      </c>
      <c r="W381" s="122">
        <v>20000</v>
      </c>
      <c r="X381" s="120"/>
      <c r="Y381" s="120">
        <f t="shared" si="68"/>
        <v>18333</v>
      </c>
      <c r="Z381" s="121"/>
    </row>
    <row r="382" spans="1:26" ht="30" customHeight="1" x14ac:dyDescent="0.35">
      <c r="A382" s="8" t="s">
        <v>133</v>
      </c>
      <c r="B382" s="160">
        <v>60</v>
      </c>
      <c r="C382" s="160" t="s">
        <v>90</v>
      </c>
      <c r="D382" s="160" t="s">
        <v>88</v>
      </c>
      <c r="E382" s="27" t="s">
        <v>102</v>
      </c>
      <c r="F382" s="32"/>
      <c r="G382" s="37"/>
      <c r="H382" s="61" t="str">
        <f t="shared" si="59"/>
        <v/>
      </c>
      <c r="I382" s="61" t="str">
        <f t="shared" si="60"/>
        <v/>
      </c>
      <c r="J382" s="62" t="str">
        <f t="shared" si="61"/>
        <v/>
      </c>
      <c r="K382" s="6"/>
      <c r="L382" s="44"/>
      <c r="U382" s="119" t="str" cm="1">
        <f t="array" ref="U382">IF(C382="",INDEX(C376:C382,MATCH(TRUE,INDEX((C376:C382&lt;&gt;""),0),0)),C382)</f>
        <v>Nautical Anisha</v>
      </c>
      <c r="V382" s="120">
        <f t="shared" si="69"/>
        <v>0.85716289508135401</v>
      </c>
      <c r="W382" s="122">
        <v>20000</v>
      </c>
      <c r="X382" s="120"/>
      <c r="Y382" s="120">
        <f t="shared" si="68"/>
        <v>18333</v>
      </c>
      <c r="Z382" s="121"/>
    </row>
    <row r="383" spans="1:26" ht="25" customHeight="1" outlineLevel="1" x14ac:dyDescent="0.35">
      <c r="B383" s="161"/>
      <c r="C383" s="161"/>
      <c r="D383" s="161"/>
      <c r="E383" s="6" t="s">
        <v>13</v>
      </c>
      <c r="F383" s="32" t="s">
        <v>17</v>
      </c>
      <c r="G383" s="37"/>
      <c r="H383" s="61">
        <f t="shared" si="59"/>
        <v>9428.7918458948934</v>
      </c>
      <c r="I383" s="61">
        <f t="shared" si="60"/>
        <v>2742.9212642603329</v>
      </c>
      <c r="J383" s="62">
        <f t="shared" si="61"/>
        <v>54.858425285206657</v>
      </c>
      <c r="K383" s="6"/>
      <c r="L383" s="45"/>
      <c r="U383" s="119" t="str" cm="1">
        <f t="array" ref="U383">IF(C383="",INDEX(C377:C383,MATCH(TRUE,INDEX((C377:C383&lt;&gt;""),0),0)),C383)</f>
        <v>Nautical Anisha</v>
      </c>
      <c r="V383" s="120">
        <f t="shared" si="69"/>
        <v>0.85716289508135401</v>
      </c>
      <c r="W383" s="122">
        <v>20000</v>
      </c>
      <c r="X383" s="120"/>
      <c r="Y383" s="120">
        <f t="shared" si="68"/>
        <v>18333</v>
      </c>
      <c r="Z383" s="121"/>
    </row>
    <row r="384" spans="1:26" ht="25" customHeight="1" outlineLevel="1" x14ac:dyDescent="0.35">
      <c r="B384" s="161"/>
      <c r="C384" s="161"/>
      <c r="D384" s="161"/>
      <c r="E384" s="6" t="s">
        <v>110</v>
      </c>
      <c r="F384" s="32" t="s">
        <v>32</v>
      </c>
      <c r="G384" s="37"/>
      <c r="H384" s="61" t="str">
        <f t="shared" si="59"/>
        <v/>
      </c>
      <c r="I384" s="61" t="str">
        <f t="shared" si="60"/>
        <v/>
      </c>
      <c r="J384" s="62" t="str">
        <f t="shared" si="61"/>
        <v/>
      </c>
      <c r="K384" s="6"/>
      <c r="L384" s="45"/>
      <c r="U384" s="119" t="str" cm="1">
        <f t="array" ref="U384">IF(C384="",INDEX(C378:C384,MATCH(TRUE,INDEX((C378:C384&lt;&gt;""),0),0)),C384)</f>
        <v>Nautical Anisha</v>
      </c>
      <c r="V384" s="120">
        <f t="shared" si="69"/>
        <v>0.85716289508135401</v>
      </c>
      <c r="W384" s="122">
        <v>20000</v>
      </c>
      <c r="X384" s="120"/>
      <c r="Y384" s="120">
        <f t="shared" si="68"/>
        <v>18333</v>
      </c>
      <c r="Z384" s="121"/>
    </row>
    <row r="385" spans="1:26" ht="25" customHeight="1" outlineLevel="1" x14ac:dyDescent="0.35">
      <c r="B385" s="161"/>
      <c r="C385" s="161"/>
      <c r="D385" s="161"/>
      <c r="E385" s="6" t="s">
        <v>109</v>
      </c>
      <c r="F385" s="32" t="s">
        <v>21</v>
      </c>
      <c r="G385" s="37"/>
      <c r="H385" s="61" t="str">
        <f t="shared" si="59"/>
        <v/>
      </c>
      <c r="I385" s="61" t="str">
        <f t="shared" si="60"/>
        <v/>
      </c>
      <c r="J385" s="62" t="str">
        <f t="shared" si="61"/>
        <v/>
      </c>
      <c r="K385" s="6"/>
      <c r="L385" s="45"/>
      <c r="U385" s="119" t="str" cm="1">
        <f t="array" ref="U385">IF(C385="",INDEX(C379:C385,MATCH(TRUE,INDEX((C379:C385&lt;&gt;""),0),0)),C385)</f>
        <v>Nautical Anisha</v>
      </c>
      <c r="V385" s="120">
        <f t="shared" si="69"/>
        <v>0.85716289508135401</v>
      </c>
      <c r="W385" s="122">
        <v>20000</v>
      </c>
      <c r="X385" s="120"/>
      <c r="Y385" s="120">
        <f t="shared" si="68"/>
        <v>18333</v>
      </c>
      <c r="Z385" s="121"/>
    </row>
    <row r="386" spans="1:26" ht="25" customHeight="1" outlineLevel="1" x14ac:dyDescent="0.35">
      <c r="B386" s="161"/>
      <c r="C386" s="161"/>
      <c r="D386" s="161"/>
      <c r="E386" s="6" t="s">
        <v>106</v>
      </c>
      <c r="F386" s="32" t="s">
        <v>21</v>
      </c>
      <c r="G386" s="37"/>
      <c r="H386" s="61" t="str">
        <f t="shared" si="59"/>
        <v/>
      </c>
      <c r="I386" s="61" t="str">
        <f t="shared" si="60"/>
        <v/>
      </c>
      <c r="J386" s="62" t="str">
        <f t="shared" si="61"/>
        <v/>
      </c>
      <c r="K386" s="6"/>
      <c r="L386" s="45"/>
      <c r="U386" s="119" t="str" cm="1">
        <f t="array" ref="U386">IF(C386="",INDEX(C380:C386,MATCH(TRUE,INDEX((C380:C386&lt;&gt;""),0),0)),C386)</f>
        <v>Nautical Anisha</v>
      </c>
      <c r="V386" s="120">
        <f t="shared" si="69"/>
        <v>0.85716289508135401</v>
      </c>
      <c r="W386" s="122">
        <v>20000</v>
      </c>
      <c r="X386" s="120"/>
      <c r="Y386" s="120">
        <f t="shared" si="68"/>
        <v>18333</v>
      </c>
      <c r="Z386" s="121"/>
    </row>
    <row r="387" spans="1:26" ht="25" customHeight="1" outlineLevel="1" x14ac:dyDescent="0.35">
      <c r="B387" s="162"/>
      <c r="C387" s="162"/>
      <c r="D387" s="162"/>
      <c r="E387" s="7" t="s">
        <v>14</v>
      </c>
      <c r="F387" s="32" t="s">
        <v>32</v>
      </c>
      <c r="G387" s="37"/>
      <c r="H387" s="61" t="str">
        <f t="shared" si="59"/>
        <v/>
      </c>
      <c r="I387" s="61" t="str">
        <f t="shared" si="60"/>
        <v/>
      </c>
      <c r="J387" s="62" t="str">
        <f t="shared" si="61"/>
        <v/>
      </c>
      <c r="K387" s="6"/>
      <c r="L387" s="46"/>
      <c r="U387" s="119" t="str" cm="1">
        <f t="array" ref="U387">IF(C387="",INDEX(C381:C387,MATCH(TRUE,INDEX((C381:C387&lt;&gt;""),0),0)),C387)</f>
        <v>Nautical Anisha</v>
      </c>
      <c r="V387" s="120">
        <f t="shared" si="69"/>
        <v>0.85716289508135401</v>
      </c>
      <c r="W387" s="122">
        <v>20000</v>
      </c>
      <c r="X387" s="120"/>
      <c r="Y387" s="120">
        <f t="shared" si="68"/>
        <v>18333</v>
      </c>
      <c r="Z387" s="121"/>
    </row>
    <row r="388" spans="1:26" ht="30" customHeight="1" x14ac:dyDescent="0.35">
      <c r="A388" s="8" t="s">
        <v>133</v>
      </c>
      <c r="B388" s="163">
        <v>61</v>
      </c>
      <c r="C388" s="163" t="s">
        <v>91</v>
      </c>
      <c r="D388" s="163" t="s">
        <v>88</v>
      </c>
      <c r="E388" s="26" t="s">
        <v>102</v>
      </c>
      <c r="F388" s="31"/>
      <c r="G388" s="34"/>
      <c r="H388" s="55" t="str">
        <f t="shared" si="59"/>
        <v/>
      </c>
      <c r="I388" s="55" t="str">
        <f t="shared" si="60"/>
        <v/>
      </c>
      <c r="J388" s="56" t="str">
        <f t="shared" si="61"/>
        <v/>
      </c>
      <c r="K388" s="2"/>
      <c r="L388" s="42"/>
      <c r="U388" s="119" t="str" cm="1">
        <f t="array" ref="U388">IF(C388="",INDEX(C382:C388,MATCH(TRUE,INDEX((C382:C388&lt;&gt;""),0),0)),C388)</f>
        <v>Paragon Sentinel</v>
      </c>
      <c r="V388" s="120">
        <f t="shared" si="69"/>
        <v>0.85716289508135401</v>
      </c>
      <c r="W388" s="122">
        <v>20000</v>
      </c>
      <c r="X388" s="120"/>
      <c r="Y388" s="120">
        <f t="shared" si="68"/>
        <v>18333</v>
      </c>
      <c r="Z388" s="121"/>
    </row>
    <row r="389" spans="1:26" ht="25" customHeight="1" outlineLevel="1" x14ac:dyDescent="0.35">
      <c r="B389" s="164"/>
      <c r="C389" s="164"/>
      <c r="D389" s="164"/>
      <c r="E389" s="3" t="s">
        <v>13</v>
      </c>
      <c r="F389" s="31" t="s">
        <v>21</v>
      </c>
      <c r="G389" s="35"/>
      <c r="H389" s="57" t="str">
        <f t="shared" si="59"/>
        <v/>
      </c>
      <c r="I389" s="57" t="str">
        <f t="shared" si="60"/>
        <v/>
      </c>
      <c r="J389" s="58" t="str">
        <f t="shared" si="61"/>
        <v/>
      </c>
      <c r="K389" s="3"/>
      <c r="L389" s="42"/>
      <c r="U389" s="119" t="str" cm="1">
        <f t="array" ref="U389">IF(C389="",INDEX(C383:C389,MATCH(TRUE,INDEX((C383:C389&lt;&gt;""),0),0)),C389)</f>
        <v>Paragon Sentinel</v>
      </c>
      <c r="V389" s="120">
        <f t="shared" si="69"/>
        <v>0.85716289508135401</v>
      </c>
      <c r="W389" s="122">
        <v>20000</v>
      </c>
      <c r="X389" s="120"/>
      <c r="Y389" s="120">
        <f t="shared" si="68"/>
        <v>18333</v>
      </c>
      <c r="Z389" s="121"/>
    </row>
    <row r="390" spans="1:26" ht="25" customHeight="1" outlineLevel="1" x14ac:dyDescent="0.35">
      <c r="B390" s="164"/>
      <c r="C390" s="164"/>
      <c r="D390" s="164"/>
      <c r="E390" s="3" t="s">
        <v>110</v>
      </c>
      <c r="F390" s="31" t="s">
        <v>17</v>
      </c>
      <c r="G390" s="35"/>
      <c r="H390" s="57">
        <f t="shared" si="59"/>
        <v>0</v>
      </c>
      <c r="I390" s="57">
        <f t="shared" si="60"/>
        <v>428.581447540677</v>
      </c>
      <c r="J390" s="58">
        <f t="shared" si="61"/>
        <v>0</v>
      </c>
      <c r="K390" s="3"/>
      <c r="L390" s="42"/>
      <c r="U390" s="119" t="str" cm="1">
        <f t="array" ref="U390">IF(C390="",INDEX(C384:C390,MATCH(TRUE,INDEX((C384:C390&lt;&gt;""),0),0)),C390)</f>
        <v>Paragon Sentinel</v>
      </c>
      <c r="V390" s="120">
        <f t="shared" si="69"/>
        <v>0.85716289508135401</v>
      </c>
      <c r="W390" s="122">
        <v>20000</v>
      </c>
      <c r="X390" s="120"/>
      <c r="Y390" s="120">
        <f t="shared" si="68"/>
        <v>18333</v>
      </c>
      <c r="Z390" s="121"/>
    </row>
    <row r="391" spans="1:26" ht="25" customHeight="1" outlineLevel="1" x14ac:dyDescent="0.35">
      <c r="B391" s="164"/>
      <c r="C391" s="164"/>
      <c r="D391" s="164"/>
      <c r="E391" s="3" t="s">
        <v>109</v>
      </c>
      <c r="F391" s="31" t="s">
        <v>21</v>
      </c>
      <c r="G391" s="35"/>
      <c r="H391" s="57" t="str">
        <f t="shared" si="59"/>
        <v/>
      </c>
      <c r="I391" s="57" t="str">
        <f t="shared" si="60"/>
        <v/>
      </c>
      <c r="J391" s="58" t="str">
        <f t="shared" si="61"/>
        <v/>
      </c>
      <c r="K391" s="3"/>
      <c r="L391" s="42" t="s">
        <v>275</v>
      </c>
      <c r="U391" s="119" t="str" cm="1">
        <f t="array" ref="U391">IF(C391="",INDEX(C385:C391,MATCH(TRUE,INDEX((C385:C391&lt;&gt;""),0),0)),C391)</f>
        <v>Paragon Sentinel</v>
      </c>
      <c r="V391" s="120">
        <f t="shared" si="69"/>
        <v>0.85716289508135401</v>
      </c>
      <c r="W391" s="122">
        <v>20000</v>
      </c>
      <c r="X391" s="120"/>
      <c r="Y391" s="120">
        <f t="shared" si="68"/>
        <v>18333</v>
      </c>
      <c r="Z391" s="121"/>
    </row>
    <row r="392" spans="1:26" ht="25" customHeight="1" outlineLevel="1" x14ac:dyDescent="0.35">
      <c r="B392" s="164"/>
      <c r="C392" s="164"/>
      <c r="D392" s="164"/>
      <c r="E392" s="3" t="s">
        <v>106</v>
      </c>
      <c r="F392" s="31" t="s">
        <v>17</v>
      </c>
      <c r="G392" s="35"/>
      <c r="H392" s="57">
        <f t="shared" si="59"/>
        <v>7114.4520291752387</v>
      </c>
      <c r="I392" s="57">
        <f t="shared" si="60"/>
        <v>3428.651580325416</v>
      </c>
      <c r="J392" s="58">
        <f t="shared" si="61"/>
        <v>72.85884608191509</v>
      </c>
      <c r="K392" s="3"/>
      <c r="L392" s="42"/>
      <c r="U392" s="119" t="str" cm="1">
        <f t="array" ref="U392">IF(C392="",INDEX(C386:C392,MATCH(TRUE,INDEX((C386:C392&lt;&gt;""),0),0)),C392)</f>
        <v>Paragon Sentinel</v>
      </c>
      <c r="V392" s="120">
        <f t="shared" si="69"/>
        <v>0.85716289508135401</v>
      </c>
      <c r="W392" s="122">
        <v>20000</v>
      </c>
      <c r="X392" s="120"/>
      <c r="Y392" s="120">
        <f t="shared" si="68"/>
        <v>18333</v>
      </c>
      <c r="Z392" s="121"/>
    </row>
    <row r="393" spans="1:26" ht="25" customHeight="1" outlineLevel="1" x14ac:dyDescent="0.35">
      <c r="B393" s="165"/>
      <c r="C393" s="165"/>
      <c r="D393" s="165"/>
      <c r="E393" s="4" t="s">
        <v>14</v>
      </c>
      <c r="F393" s="31" t="s">
        <v>21</v>
      </c>
      <c r="G393" s="39"/>
      <c r="H393" s="65" t="str">
        <f t="shared" si="59"/>
        <v/>
      </c>
      <c r="I393" s="65" t="str">
        <f t="shared" si="60"/>
        <v/>
      </c>
      <c r="J393" s="66" t="str">
        <f t="shared" si="61"/>
        <v/>
      </c>
      <c r="K393" s="4"/>
      <c r="L393" s="42"/>
      <c r="U393" s="119" t="str" cm="1">
        <f t="array" ref="U393">IF(C393="",INDEX(C387:C393,MATCH(TRUE,INDEX((C387:C393&lt;&gt;""),0),0)),C393)</f>
        <v>Paragon Sentinel</v>
      </c>
      <c r="V393" s="120">
        <f t="shared" si="69"/>
        <v>0.85716289508135401</v>
      </c>
      <c r="W393" s="122">
        <v>20000</v>
      </c>
      <c r="X393" s="120"/>
      <c r="Y393" s="120">
        <f t="shared" si="68"/>
        <v>18333</v>
      </c>
      <c r="Z393" s="121"/>
    </row>
    <row r="394" spans="1:26" ht="30" customHeight="1" x14ac:dyDescent="0.35">
      <c r="A394" s="8" t="s">
        <v>133</v>
      </c>
      <c r="B394" s="160">
        <v>62</v>
      </c>
      <c r="C394" s="160" t="s">
        <v>96</v>
      </c>
      <c r="D394" s="160" t="s">
        <v>88</v>
      </c>
      <c r="E394" s="27" t="s">
        <v>102</v>
      </c>
      <c r="F394" s="32"/>
      <c r="G394" s="37"/>
      <c r="H394" s="61" t="str">
        <f t="shared" ref="H394:H460" si="78">IF(F394="Done", V394*VLOOKUP(E394, $AB$3:$AC$16, 2, FALSE), "")</f>
        <v/>
      </c>
      <c r="I394" s="61" t="str">
        <f t="shared" ref="I394:I460" si="79">IF(F394="Done", V394*VLOOKUP(E394, $AB$3:$AD$16, 3, FALSE), "")</f>
        <v/>
      </c>
      <c r="J394" s="62" t="str">
        <f t="shared" ref="J394:J460" si="80">IF(F394="Done", V394*VLOOKUP(E394, $AB$3:$AE$16, 4, FALSE), "")</f>
        <v/>
      </c>
      <c r="K394" s="6"/>
      <c r="L394" s="44"/>
      <c r="U394" s="119" t="str" cm="1">
        <f t="array" ref="U394">IF(C394="",INDEX(C388:C394,MATCH(TRUE,INDEX((C388:C394&lt;&gt;""),0),0)),C394)</f>
        <v>BOS Tramontana</v>
      </c>
      <c r="V394" s="120">
        <f t="shared" si="69"/>
        <v>0.28155975313259773</v>
      </c>
      <c r="W394" s="120">
        <v>5000</v>
      </c>
      <c r="X394" s="120"/>
      <c r="Y394" s="120">
        <f t="shared" si="68"/>
        <v>6022</v>
      </c>
      <c r="Z394" s="121"/>
    </row>
    <row r="395" spans="1:26" ht="25" customHeight="1" outlineLevel="1" x14ac:dyDescent="0.35">
      <c r="B395" s="161"/>
      <c r="C395" s="161"/>
      <c r="D395" s="161"/>
      <c r="E395" s="6" t="s">
        <v>13</v>
      </c>
      <c r="F395" s="32" t="s">
        <v>32</v>
      </c>
      <c r="G395" s="37"/>
      <c r="H395" s="61" t="str">
        <f t="shared" si="78"/>
        <v/>
      </c>
      <c r="I395" s="61" t="str">
        <f t="shared" si="79"/>
        <v/>
      </c>
      <c r="J395" s="62" t="str">
        <f t="shared" si="80"/>
        <v/>
      </c>
      <c r="K395" s="6"/>
      <c r="L395" s="45"/>
      <c r="U395" s="119" t="str" cm="1">
        <f t="array" ref="U395">IF(C395="",INDEX(C389:C395,MATCH(TRUE,INDEX((C389:C395&lt;&gt;""),0),0)),C395)</f>
        <v>BOS Tramontana</v>
      </c>
      <c r="V395" s="120">
        <f t="shared" si="69"/>
        <v>0.28155975313259773</v>
      </c>
      <c r="W395" s="120">
        <v>5000</v>
      </c>
      <c r="X395" s="120"/>
      <c r="Y395" s="120">
        <f t="shared" si="68"/>
        <v>6022</v>
      </c>
      <c r="Z395" s="121"/>
    </row>
    <row r="396" spans="1:26" ht="25" customHeight="1" outlineLevel="1" x14ac:dyDescent="0.35">
      <c r="B396" s="161"/>
      <c r="C396" s="161"/>
      <c r="D396" s="161"/>
      <c r="E396" s="6" t="s">
        <v>110</v>
      </c>
      <c r="F396" s="32" t="s">
        <v>21</v>
      </c>
      <c r="G396" s="37"/>
      <c r="H396" s="61" t="str">
        <f t="shared" si="78"/>
        <v/>
      </c>
      <c r="I396" s="61" t="str">
        <f t="shared" si="79"/>
        <v/>
      </c>
      <c r="J396" s="62" t="str">
        <f t="shared" si="80"/>
        <v/>
      </c>
      <c r="K396" s="6"/>
      <c r="L396" s="45"/>
      <c r="U396" s="119" t="str" cm="1">
        <f t="array" ref="U396">IF(C396="",INDEX(C390:C396,MATCH(TRUE,INDEX((C390:C396&lt;&gt;""),0),0)),C396)</f>
        <v>BOS Tramontana</v>
      </c>
      <c r="V396" s="120">
        <f t="shared" si="69"/>
        <v>0.28155975313259773</v>
      </c>
      <c r="W396" s="120">
        <v>5000</v>
      </c>
      <c r="X396" s="120"/>
      <c r="Y396" s="120">
        <f t="shared" si="68"/>
        <v>6022</v>
      </c>
      <c r="Z396" s="121"/>
    </row>
    <row r="397" spans="1:26" ht="25" customHeight="1" outlineLevel="1" x14ac:dyDescent="0.35">
      <c r="B397" s="161"/>
      <c r="C397" s="161"/>
      <c r="D397" s="161"/>
      <c r="E397" s="6" t="s">
        <v>109</v>
      </c>
      <c r="F397" s="32" t="s">
        <v>32</v>
      </c>
      <c r="G397" s="37"/>
      <c r="H397" s="61" t="str">
        <f t="shared" si="78"/>
        <v/>
      </c>
      <c r="I397" s="61" t="str">
        <f t="shared" si="79"/>
        <v/>
      </c>
      <c r="J397" s="62" t="str">
        <f t="shared" si="80"/>
        <v/>
      </c>
      <c r="K397" s="6"/>
      <c r="L397" s="45"/>
      <c r="U397" s="119" t="str" cm="1">
        <f t="array" ref="U397">IF(C397="",INDEX(C391:C397,MATCH(TRUE,INDEX((C391:C397&lt;&gt;""),0),0)),C397)</f>
        <v>BOS Tramontana</v>
      </c>
      <c r="V397" s="120">
        <f t="shared" si="69"/>
        <v>0.28155975313259773</v>
      </c>
      <c r="W397" s="120">
        <v>5000</v>
      </c>
      <c r="X397" s="120"/>
      <c r="Y397" s="120">
        <f t="shared" si="68"/>
        <v>6022</v>
      </c>
      <c r="Z397" s="121"/>
    </row>
    <row r="398" spans="1:26" ht="25" customHeight="1" outlineLevel="1" x14ac:dyDescent="0.35">
      <c r="B398" s="161"/>
      <c r="C398" s="161"/>
      <c r="D398" s="161"/>
      <c r="E398" s="6" t="s">
        <v>106</v>
      </c>
      <c r="F398" s="32" t="s">
        <v>32</v>
      </c>
      <c r="G398" s="37"/>
      <c r="H398" s="61" t="str">
        <f t="shared" si="78"/>
        <v/>
      </c>
      <c r="I398" s="61" t="str">
        <f t="shared" si="79"/>
        <v/>
      </c>
      <c r="J398" s="62" t="str">
        <f t="shared" si="80"/>
        <v/>
      </c>
      <c r="K398" s="6"/>
      <c r="L398" s="45"/>
      <c r="U398" s="119" t="str" cm="1">
        <f t="array" ref="U398">IF(C398="",INDEX(C392:C398,MATCH(TRUE,INDEX((C392:C398&lt;&gt;""),0),0)),C398)</f>
        <v>BOS Tramontana</v>
      </c>
      <c r="V398" s="120">
        <f t="shared" si="69"/>
        <v>0.28155975313259773</v>
      </c>
      <c r="W398" s="120">
        <v>5000</v>
      </c>
      <c r="X398" s="120"/>
      <c r="Y398" s="120">
        <f t="shared" si="68"/>
        <v>6022</v>
      </c>
      <c r="Z398" s="121"/>
    </row>
    <row r="399" spans="1:26" ht="25" customHeight="1" outlineLevel="1" x14ac:dyDescent="0.35">
      <c r="B399" s="162"/>
      <c r="C399" s="162"/>
      <c r="D399" s="162"/>
      <c r="E399" s="7" t="s">
        <v>14</v>
      </c>
      <c r="F399" s="32" t="s">
        <v>32</v>
      </c>
      <c r="G399" s="37"/>
      <c r="H399" s="61" t="str">
        <f t="shared" si="78"/>
        <v/>
      </c>
      <c r="I399" s="61" t="str">
        <f t="shared" si="79"/>
        <v/>
      </c>
      <c r="J399" s="62" t="str">
        <f t="shared" si="80"/>
        <v/>
      </c>
      <c r="K399" s="6"/>
      <c r="L399" s="46"/>
      <c r="U399" s="119" t="str" cm="1">
        <f t="array" ref="U399">IF(C399="",INDEX(C393:C399,MATCH(TRUE,INDEX((C393:C399&lt;&gt;""),0),0)),C399)</f>
        <v>BOS Tramontana</v>
      </c>
      <c r="V399" s="120">
        <f t="shared" si="69"/>
        <v>0.28155975313259773</v>
      </c>
      <c r="W399" s="120">
        <v>5000</v>
      </c>
      <c r="X399" s="120"/>
      <c r="Y399" s="120">
        <f t="shared" si="68"/>
        <v>6022</v>
      </c>
      <c r="Z399" s="121"/>
    </row>
    <row r="400" spans="1:26" ht="30" customHeight="1" x14ac:dyDescent="0.35">
      <c r="A400" s="8" t="s">
        <v>133</v>
      </c>
      <c r="B400" s="163">
        <v>63</v>
      </c>
      <c r="C400" s="163" t="s">
        <v>319</v>
      </c>
      <c r="D400" s="163" t="s">
        <v>12</v>
      </c>
      <c r="E400" s="26" t="s">
        <v>102</v>
      </c>
      <c r="F400" s="31"/>
      <c r="G400" s="34"/>
      <c r="H400" s="55" t="str">
        <f t="shared" si="78"/>
        <v/>
      </c>
      <c r="I400" s="55" t="str">
        <f t="shared" si="79"/>
        <v/>
      </c>
      <c r="J400" s="56" t="str">
        <f t="shared" si="80"/>
        <v/>
      </c>
      <c r="K400" s="2"/>
      <c r="L400" s="41"/>
      <c r="U400" s="119" t="str" cm="1">
        <f t="array" ref="U400">IF(C400="",INDEX(C394:C400,MATCH(TRUE,INDEX((C394:C400&lt;&gt;""),0),0)),C400)</f>
        <v>Britoil Courage</v>
      </c>
      <c r="V400" s="120">
        <f t="shared" si="69"/>
        <v>0.71427903497288203</v>
      </c>
      <c r="W400" s="122">
        <v>20000</v>
      </c>
      <c r="X400" s="120"/>
      <c r="Y400" s="120">
        <f t="shared" si="68"/>
        <v>15277</v>
      </c>
      <c r="Z400" s="121"/>
    </row>
    <row r="401" spans="1:26" ht="25" customHeight="1" outlineLevel="1" x14ac:dyDescent="0.35">
      <c r="B401" s="164"/>
      <c r="C401" s="164"/>
      <c r="D401" s="164"/>
      <c r="E401" s="3" t="s">
        <v>13</v>
      </c>
      <c r="F401" s="31" t="s">
        <v>17</v>
      </c>
      <c r="G401" s="35"/>
      <c r="H401" s="57">
        <f t="shared" si="78"/>
        <v>7857.0693847017028</v>
      </c>
      <c r="I401" s="57">
        <f t="shared" si="79"/>
        <v>2285.6929119132224</v>
      </c>
      <c r="J401" s="58">
        <f t="shared" si="80"/>
        <v>45.71385823826445</v>
      </c>
      <c r="K401" s="3"/>
      <c r="L401" s="42"/>
      <c r="U401" s="119" t="str" cm="1">
        <f t="array" ref="U401">IF(C401="",INDEX(C395:C401,MATCH(TRUE,INDEX((C395:C401&lt;&gt;""),0),0)),C401)</f>
        <v>Britoil Courage</v>
      </c>
      <c r="V401" s="120">
        <f t="shared" si="69"/>
        <v>0.71427903497288203</v>
      </c>
      <c r="W401" s="122">
        <v>20000</v>
      </c>
      <c r="X401" s="120"/>
      <c r="Y401" s="120">
        <f t="shared" si="68"/>
        <v>15277</v>
      </c>
      <c r="Z401" s="121"/>
    </row>
    <row r="402" spans="1:26" ht="25" customHeight="1" outlineLevel="1" x14ac:dyDescent="0.35">
      <c r="B402" s="164"/>
      <c r="C402" s="164"/>
      <c r="D402" s="164"/>
      <c r="E402" s="3" t="s">
        <v>110</v>
      </c>
      <c r="F402" s="31" t="s">
        <v>21</v>
      </c>
      <c r="G402" s="35"/>
      <c r="H402" s="57" t="str">
        <f t="shared" si="78"/>
        <v/>
      </c>
      <c r="I402" s="57" t="str">
        <f t="shared" si="79"/>
        <v/>
      </c>
      <c r="J402" s="58" t="str">
        <f t="shared" si="80"/>
        <v/>
      </c>
      <c r="K402" s="3"/>
      <c r="L402" s="42"/>
      <c r="U402" s="119" t="str" cm="1">
        <f t="array" ref="U402">IF(C402="",INDEX(C396:C402,MATCH(TRUE,INDEX((C396:C402&lt;&gt;""),0),0)),C402)</f>
        <v>Britoil Courage</v>
      </c>
      <c r="V402" s="120">
        <f t="shared" si="69"/>
        <v>0.71427903497288203</v>
      </c>
      <c r="W402" s="122">
        <v>20000</v>
      </c>
      <c r="X402" s="120"/>
      <c r="Y402" s="120">
        <f t="shared" si="68"/>
        <v>15277</v>
      </c>
      <c r="Z402" s="121"/>
    </row>
    <row r="403" spans="1:26" ht="25" customHeight="1" outlineLevel="1" x14ac:dyDescent="0.35">
      <c r="B403" s="164"/>
      <c r="C403" s="164"/>
      <c r="D403" s="164"/>
      <c r="E403" s="3" t="s">
        <v>109</v>
      </c>
      <c r="F403" s="31" t="s">
        <v>21</v>
      </c>
      <c r="G403" s="35"/>
      <c r="H403" s="57" t="str">
        <f t="shared" si="78"/>
        <v/>
      </c>
      <c r="I403" s="57" t="str">
        <f t="shared" si="79"/>
        <v/>
      </c>
      <c r="J403" s="58" t="str">
        <f t="shared" si="80"/>
        <v/>
      </c>
      <c r="K403" s="3"/>
      <c r="L403" s="42"/>
      <c r="U403" s="119" t="str" cm="1">
        <f t="array" ref="U403">IF(C403="",INDEX(C397:C403,MATCH(TRUE,INDEX((C397:C403&lt;&gt;""),0),0)),C403)</f>
        <v>Britoil Courage</v>
      </c>
      <c r="V403" s="120">
        <f t="shared" si="69"/>
        <v>0.71427903497288203</v>
      </c>
      <c r="W403" s="122">
        <v>20000</v>
      </c>
      <c r="X403" s="120"/>
      <c r="Y403" s="120">
        <f t="shared" si="68"/>
        <v>15277</v>
      </c>
      <c r="Z403" s="121"/>
    </row>
    <row r="404" spans="1:26" ht="25" customHeight="1" outlineLevel="1" x14ac:dyDescent="0.35">
      <c r="B404" s="164"/>
      <c r="C404" s="164"/>
      <c r="D404" s="164"/>
      <c r="E404" s="3" t="s">
        <v>106</v>
      </c>
      <c r="F404" s="31" t="s">
        <v>21</v>
      </c>
      <c r="G404" s="35"/>
      <c r="H404" s="57" t="str">
        <f t="shared" si="78"/>
        <v/>
      </c>
      <c r="I404" s="57" t="str">
        <f t="shared" si="79"/>
        <v/>
      </c>
      <c r="J404" s="58" t="str">
        <f t="shared" si="80"/>
        <v/>
      </c>
      <c r="K404" s="3"/>
      <c r="L404" s="42"/>
      <c r="U404" s="119" t="str" cm="1">
        <f t="array" ref="U404">IF(C404="",INDEX(C398:C404,MATCH(TRUE,INDEX((C398:C404&lt;&gt;""),0),0)),C404)</f>
        <v>Britoil Courage</v>
      </c>
      <c r="V404" s="120">
        <f t="shared" si="69"/>
        <v>0.71427903497288203</v>
      </c>
      <c r="W404" s="122">
        <v>20000</v>
      </c>
      <c r="X404" s="120"/>
      <c r="Y404" s="120">
        <f t="shared" si="68"/>
        <v>15277</v>
      </c>
      <c r="Z404" s="121"/>
    </row>
    <row r="405" spans="1:26" ht="25" customHeight="1" outlineLevel="1" x14ac:dyDescent="0.35">
      <c r="B405" s="165"/>
      <c r="C405" s="165"/>
      <c r="D405" s="165"/>
      <c r="E405" s="4" t="s">
        <v>14</v>
      </c>
      <c r="F405" s="31" t="s">
        <v>21</v>
      </c>
      <c r="G405" s="39"/>
      <c r="H405" s="65" t="str">
        <f t="shared" si="78"/>
        <v/>
      </c>
      <c r="I405" s="65" t="str">
        <f t="shared" si="79"/>
        <v/>
      </c>
      <c r="J405" s="66" t="str">
        <f t="shared" si="80"/>
        <v/>
      </c>
      <c r="K405" s="4"/>
      <c r="L405" s="43"/>
      <c r="U405" s="119" t="str" cm="1">
        <f t="array" ref="U405">IF(C405="",INDEX(C399:C405,MATCH(TRUE,INDEX((C399:C405&lt;&gt;""),0),0)),C405)</f>
        <v>Britoil Courage</v>
      </c>
      <c r="V405" s="120">
        <f t="shared" si="69"/>
        <v>0.71427903497288203</v>
      </c>
      <c r="W405" s="122">
        <v>20000</v>
      </c>
      <c r="X405" s="120"/>
      <c r="Y405" s="120">
        <f t="shared" si="68"/>
        <v>15277</v>
      </c>
      <c r="Z405" s="121"/>
    </row>
    <row r="406" spans="1:26" ht="30" customHeight="1" x14ac:dyDescent="0.35">
      <c r="A406" s="8" t="s">
        <v>133</v>
      </c>
      <c r="B406" s="160">
        <v>64</v>
      </c>
      <c r="C406" s="160" t="s">
        <v>305</v>
      </c>
      <c r="D406" s="160" t="s">
        <v>92</v>
      </c>
      <c r="E406" s="27" t="s">
        <v>102</v>
      </c>
      <c r="F406" s="32"/>
      <c r="G406" s="37"/>
      <c r="H406" s="61" t="str">
        <f t="shared" si="78"/>
        <v/>
      </c>
      <c r="I406" s="61" t="str">
        <f t="shared" si="79"/>
        <v/>
      </c>
      <c r="J406" s="62" t="str">
        <f t="shared" si="80"/>
        <v/>
      </c>
      <c r="K406" s="6"/>
      <c r="L406" s="44"/>
      <c r="U406" s="119" t="str" cm="1">
        <f t="array" ref="U406">IF(C406="",INDEX(C400:C406,MATCH(TRUE,INDEX((C400:C406&lt;&gt;""),0),0)),C406)</f>
        <v>Britoil Defiance</v>
      </c>
      <c r="V406" s="120">
        <f t="shared" si="69"/>
        <v>1.1428838601084721</v>
      </c>
      <c r="W406" s="120">
        <v>22000</v>
      </c>
      <c r="X406" s="123" t="s">
        <v>158</v>
      </c>
      <c r="Y406" s="120">
        <f t="shared" si="68"/>
        <v>24444</v>
      </c>
      <c r="Z406" s="121"/>
    </row>
    <row r="407" spans="1:26" ht="25" customHeight="1" outlineLevel="1" x14ac:dyDescent="0.35">
      <c r="B407" s="161"/>
      <c r="C407" s="161"/>
      <c r="D407" s="161"/>
      <c r="E407" s="6" t="s">
        <v>13</v>
      </c>
      <c r="F407" s="32" t="s">
        <v>17</v>
      </c>
      <c r="G407" s="37"/>
      <c r="H407" s="61">
        <f t="shared" si="78"/>
        <v>12571.722461193192</v>
      </c>
      <c r="I407" s="61">
        <f t="shared" si="79"/>
        <v>3657.2283523471106</v>
      </c>
      <c r="J407" s="62">
        <f t="shared" si="80"/>
        <v>73.144567046942214</v>
      </c>
      <c r="K407" s="6"/>
      <c r="L407" s="45"/>
      <c r="U407" s="119" t="str" cm="1">
        <f t="array" ref="U407">IF(C407="",INDEX(C401:C407,MATCH(TRUE,INDEX((C401:C407&lt;&gt;""),0),0)),C407)</f>
        <v>Britoil Defiance</v>
      </c>
      <c r="V407" s="120">
        <f t="shared" si="69"/>
        <v>1.1428838601084721</v>
      </c>
      <c r="W407" s="120">
        <v>22000</v>
      </c>
      <c r="X407" s="120"/>
      <c r="Y407" s="120">
        <f t="shared" si="68"/>
        <v>24444</v>
      </c>
      <c r="Z407" s="121"/>
    </row>
    <row r="408" spans="1:26" ht="25" customHeight="1" outlineLevel="1" x14ac:dyDescent="0.35">
      <c r="B408" s="161"/>
      <c r="C408" s="161"/>
      <c r="D408" s="161"/>
      <c r="E408" s="6" t="s">
        <v>103</v>
      </c>
      <c r="F408" s="32" t="s">
        <v>21</v>
      </c>
      <c r="G408" s="37">
        <v>45708</v>
      </c>
      <c r="H408" s="61" t="str">
        <f t="shared" si="78"/>
        <v/>
      </c>
      <c r="I408" s="61" t="str">
        <f t="shared" si="79"/>
        <v/>
      </c>
      <c r="J408" s="62" t="str">
        <f t="shared" si="80"/>
        <v/>
      </c>
      <c r="K408" s="6" t="s">
        <v>320</v>
      </c>
      <c r="L408" s="45" t="s">
        <v>124</v>
      </c>
      <c r="U408" s="119" t="str" cm="1">
        <f t="array" ref="U408">IF(C408="",INDEX(C402:C408,MATCH(TRUE,INDEX((C402:C408&lt;&gt;""),0),0)),C408)</f>
        <v>Britoil Defiance</v>
      </c>
      <c r="V408" s="120">
        <f t="shared" si="69"/>
        <v>1.1428838601084721</v>
      </c>
      <c r="W408" s="120">
        <v>22000</v>
      </c>
      <c r="X408" s="120"/>
      <c r="Y408" s="120">
        <f t="shared" si="68"/>
        <v>24444</v>
      </c>
      <c r="Z408" s="121"/>
    </row>
    <row r="409" spans="1:26" ht="25" customHeight="1" outlineLevel="1" x14ac:dyDescent="0.35">
      <c r="B409" s="161"/>
      <c r="C409" s="161"/>
      <c r="D409" s="161"/>
      <c r="E409" s="6" t="s">
        <v>106</v>
      </c>
      <c r="F409" s="32" t="s">
        <v>17</v>
      </c>
      <c r="G409" s="37"/>
      <c r="H409" s="61">
        <f t="shared" si="78"/>
        <v>9485.9360389003177</v>
      </c>
      <c r="I409" s="61">
        <f t="shared" si="79"/>
        <v>4571.5354404338887</v>
      </c>
      <c r="J409" s="62">
        <f t="shared" si="80"/>
        <v>97.145128109220124</v>
      </c>
      <c r="K409" s="6"/>
      <c r="L409" s="45"/>
      <c r="U409" s="119" t="str" cm="1">
        <f t="array" ref="U409">IF(C409="",INDEX(C403:C409,MATCH(TRUE,INDEX((C403:C409&lt;&gt;""),0),0)),C409)</f>
        <v>Britoil Defiance</v>
      </c>
      <c r="V409" s="120">
        <f t="shared" si="69"/>
        <v>1.1428838601084721</v>
      </c>
      <c r="W409" s="120">
        <v>22000</v>
      </c>
      <c r="X409" s="120"/>
      <c r="Y409" s="120">
        <f t="shared" si="68"/>
        <v>24444</v>
      </c>
      <c r="Z409" s="121"/>
    </row>
    <row r="410" spans="1:26" ht="25" customHeight="1" outlineLevel="1" x14ac:dyDescent="0.35">
      <c r="B410" s="161"/>
      <c r="C410" s="161"/>
      <c r="D410" s="161"/>
      <c r="E410" s="6" t="s">
        <v>93</v>
      </c>
      <c r="F410" s="32" t="s">
        <v>17</v>
      </c>
      <c r="G410" s="37">
        <v>45904</v>
      </c>
      <c r="H410" s="61">
        <f t="shared" si="78"/>
        <v>17143.257901627083</v>
      </c>
      <c r="I410" s="61">
        <f t="shared" si="79"/>
        <v>3657.2283523471106</v>
      </c>
      <c r="J410" s="62">
        <f t="shared" si="80"/>
        <v>99.430895829437077</v>
      </c>
      <c r="K410" s="6"/>
      <c r="L410" s="45"/>
      <c r="U410" s="119" t="str" cm="1">
        <f t="array" ref="U410">IF(C410="",INDEX(C404:C410,MATCH(TRUE,INDEX((C404:C410&lt;&gt;""),0),0)),C410)</f>
        <v>Britoil Defiance</v>
      </c>
      <c r="V410" s="120">
        <f t="shared" si="69"/>
        <v>1.1428838601084721</v>
      </c>
      <c r="W410" s="120">
        <v>22000</v>
      </c>
      <c r="X410" s="120"/>
      <c r="Y410" s="120">
        <f t="shared" si="68"/>
        <v>24444</v>
      </c>
      <c r="Z410" s="121"/>
    </row>
    <row r="411" spans="1:26" ht="25" customHeight="1" outlineLevel="1" x14ac:dyDescent="0.35">
      <c r="B411" s="161"/>
      <c r="C411" s="161"/>
      <c r="D411" s="161"/>
      <c r="E411" s="6" t="s">
        <v>109</v>
      </c>
      <c r="F411" s="32" t="s">
        <v>17</v>
      </c>
      <c r="G411" s="37"/>
      <c r="H411" s="61">
        <f t="shared" si="78"/>
        <v>18286.141761735555</v>
      </c>
      <c r="I411" s="61">
        <f t="shared" si="79"/>
        <v>1142.8838601084722</v>
      </c>
      <c r="J411" s="62">
        <f t="shared" si="80"/>
        <v>106.28819899008791</v>
      </c>
      <c r="K411" s="6"/>
      <c r="L411" s="45" t="s">
        <v>126</v>
      </c>
      <c r="M411" s="8" t="s">
        <v>133</v>
      </c>
      <c r="U411" s="119" t="str" cm="1">
        <f t="array" ref="U411">IF(C411="",INDEX(C405:C411,MATCH(TRUE,INDEX((C405:C411&lt;&gt;""),0),0)),C411)</f>
        <v>Britoil Defiance</v>
      </c>
      <c r="V411" s="120">
        <f t="shared" si="69"/>
        <v>1.1428838601084721</v>
      </c>
      <c r="W411" s="120">
        <v>22000</v>
      </c>
      <c r="X411" s="120"/>
      <c r="Y411" s="120">
        <f t="shared" si="68"/>
        <v>24444</v>
      </c>
      <c r="Z411" s="121"/>
    </row>
    <row r="412" spans="1:26" ht="25" customHeight="1" outlineLevel="1" x14ac:dyDescent="0.35">
      <c r="B412" s="161"/>
      <c r="C412" s="161"/>
      <c r="D412" s="161"/>
      <c r="E412" s="6" t="s">
        <v>310</v>
      </c>
      <c r="F412" s="32" t="s">
        <v>21</v>
      </c>
      <c r="G412" s="37"/>
      <c r="H412" s="61" t="str">
        <f t="shared" ref="H412:H431" si="81">IF(F412="Done", V412*VLOOKUP(E412, $AB$3:$AC$16, 2, FALSE), "")</f>
        <v/>
      </c>
      <c r="I412" s="61" t="str">
        <f t="shared" ref="I412:I431" si="82">IF(F412="Done", V412*VLOOKUP(E412, $AB$3:$AD$16, 3, FALSE), "")</f>
        <v/>
      </c>
      <c r="J412" s="62" t="str">
        <f t="shared" ref="J412:J431" si="83">IF(F412="Done", V412*VLOOKUP(E412, $AB$3:$AE$16, 4, FALSE), "")</f>
        <v/>
      </c>
      <c r="K412" s="6"/>
      <c r="L412" s="45"/>
      <c r="U412" s="119" t="str" cm="1">
        <f t="array" ref="U412">IF(C412="",INDEX(C406:C412,MATCH(TRUE,INDEX((C406:C412&lt;&gt;""),0),0)),C412)</f>
        <v>Britoil Defiance</v>
      </c>
      <c r="V412" s="120">
        <f t="shared" ref="V412" si="84">MIN(Y412/21388,1.3)</f>
        <v>1.1428838601084721</v>
      </c>
      <c r="W412" s="120">
        <v>22001</v>
      </c>
      <c r="X412" s="120"/>
      <c r="Y412" s="120">
        <f t="shared" ref="Y412" si="85">INT(VLOOKUP(U412, $AB$30:$AH$101, 7, FALSE))</f>
        <v>24444</v>
      </c>
      <c r="Z412" s="121"/>
    </row>
    <row r="413" spans="1:26" ht="25" customHeight="1" outlineLevel="1" x14ac:dyDescent="0.35">
      <c r="B413" s="161"/>
      <c r="C413" s="161"/>
      <c r="D413" s="161"/>
      <c r="E413" s="6" t="s">
        <v>299</v>
      </c>
      <c r="F413" s="32" t="s">
        <v>21</v>
      </c>
      <c r="G413" s="37"/>
      <c r="H413" s="61" t="str">
        <f t="shared" si="81"/>
        <v/>
      </c>
      <c r="I413" s="61" t="str">
        <f t="shared" si="82"/>
        <v/>
      </c>
      <c r="J413" s="62" t="str">
        <f t="shared" si="83"/>
        <v/>
      </c>
      <c r="K413" s="6"/>
      <c r="L413" s="45"/>
      <c r="U413" s="119" t="str" cm="1">
        <f t="array" ref="U413">IF(C413="",INDEX(C406:C413,MATCH(TRUE,INDEX((C406:C413&lt;&gt;""),0),0)),C413)</f>
        <v>Britoil Defiance</v>
      </c>
      <c r="V413" s="120">
        <f t="shared" ref="V413" si="86">MIN(Y413/21388,1.3)</f>
        <v>1.1428838601084721</v>
      </c>
      <c r="W413" s="120">
        <v>22001</v>
      </c>
      <c r="X413" s="120"/>
      <c r="Y413" s="120">
        <f t="shared" ref="Y413" si="87">INT(VLOOKUP(U413, $AB$30:$AH$101, 7, FALSE))</f>
        <v>24444</v>
      </c>
      <c r="Z413" s="121"/>
    </row>
    <row r="414" spans="1:26" ht="25" customHeight="1" outlineLevel="1" x14ac:dyDescent="0.35">
      <c r="B414" s="161"/>
      <c r="C414" s="161"/>
      <c r="D414" s="161"/>
      <c r="E414" s="6" t="s">
        <v>110</v>
      </c>
      <c r="F414" s="32" t="s">
        <v>17</v>
      </c>
      <c r="G414" s="37"/>
      <c r="H414" s="61">
        <f t="shared" si="81"/>
        <v>0</v>
      </c>
      <c r="I414" s="61">
        <f t="shared" si="82"/>
        <v>571.44193005423608</v>
      </c>
      <c r="J414" s="62">
        <f t="shared" si="83"/>
        <v>0</v>
      </c>
      <c r="K414" s="6"/>
      <c r="L414" s="45"/>
      <c r="U414" s="119" t="str" cm="1">
        <f t="array" ref="U414">IF(C414="",INDEX(C406:C414,MATCH(TRUE,INDEX((C406:C414&lt;&gt;""),0),0)),C414)</f>
        <v>Britoil Defiance</v>
      </c>
      <c r="V414" s="120">
        <f t="shared" si="69"/>
        <v>1.1428838601084721</v>
      </c>
      <c r="W414" s="120">
        <v>22000</v>
      </c>
      <c r="X414" s="120"/>
      <c r="Y414" s="120">
        <f t="shared" si="68"/>
        <v>24444</v>
      </c>
      <c r="Z414" s="121"/>
    </row>
    <row r="415" spans="1:26" ht="25" customHeight="1" outlineLevel="1" x14ac:dyDescent="0.35">
      <c r="B415" s="162"/>
      <c r="C415" s="162"/>
      <c r="D415" s="162"/>
      <c r="E415" s="7" t="s">
        <v>14</v>
      </c>
      <c r="F415" s="32" t="s">
        <v>17</v>
      </c>
      <c r="G415" s="37"/>
      <c r="H415" s="61">
        <f t="shared" si="81"/>
        <v>1714.3257901627082</v>
      </c>
      <c r="I415" s="61">
        <f t="shared" si="82"/>
        <v>7085.8799326725266</v>
      </c>
      <c r="J415" s="62">
        <f t="shared" si="83"/>
        <v>9.1430708808677768</v>
      </c>
      <c r="K415" s="6"/>
      <c r="L415" s="46"/>
      <c r="U415" s="119" t="s">
        <v>305</v>
      </c>
      <c r="V415" s="120">
        <f t="shared" si="69"/>
        <v>1.1428838601084721</v>
      </c>
      <c r="W415" s="120">
        <v>22000</v>
      </c>
      <c r="X415" s="120"/>
      <c r="Y415" s="120">
        <f t="shared" si="68"/>
        <v>24444</v>
      </c>
      <c r="Z415" s="121"/>
    </row>
    <row r="416" spans="1:26" ht="30" customHeight="1" x14ac:dyDescent="0.35">
      <c r="A416" s="8" t="s">
        <v>133</v>
      </c>
      <c r="B416" s="163">
        <v>65</v>
      </c>
      <c r="C416" s="163" t="s">
        <v>306</v>
      </c>
      <c r="D416" s="163" t="s">
        <v>92</v>
      </c>
      <c r="E416" s="26" t="s">
        <v>102</v>
      </c>
      <c r="F416" s="31"/>
      <c r="G416" s="34"/>
      <c r="H416" s="55" t="str">
        <f t="shared" si="81"/>
        <v/>
      </c>
      <c r="I416" s="55" t="str">
        <f t="shared" si="82"/>
        <v/>
      </c>
      <c r="J416" s="56" t="str">
        <f t="shared" si="83"/>
        <v/>
      </c>
      <c r="K416" s="2"/>
      <c r="L416" s="41"/>
      <c r="U416" s="119" t="str" cm="1">
        <f t="array" ref="U416">IF(C416="",INDEX(C408:C416,MATCH(TRUE,INDEX((C408:C416&lt;&gt;""),0),0)),C416)</f>
        <v>Britoil Diligance</v>
      </c>
      <c r="V416" s="120">
        <f t="shared" si="69"/>
        <v>1.1428838601084721</v>
      </c>
      <c r="W416" s="122">
        <v>20000</v>
      </c>
      <c r="X416" s="120"/>
      <c r="Y416" s="120">
        <f t="shared" si="68"/>
        <v>24444</v>
      </c>
      <c r="Z416" s="121"/>
    </row>
    <row r="417" spans="1:26" ht="25" customHeight="1" outlineLevel="1" x14ac:dyDescent="0.35">
      <c r="B417" s="164"/>
      <c r="C417" s="164"/>
      <c r="D417" s="164"/>
      <c r="E417" s="3" t="s">
        <v>13</v>
      </c>
      <c r="F417" s="31" t="s">
        <v>21</v>
      </c>
      <c r="G417" s="35"/>
      <c r="H417" s="57" t="str">
        <f t="shared" si="81"/>
        <v/>
      </c>
      <c r="I417" s="57" t="str">
        <f t="shared" si="82"/>
        <v/>
      </c>
      <c r="J417" s="58" t="str">
        <f t="shared" si="83"/>
        <v/>
      </c>
      <c r="K417" s="3"/>
      <c r="L417" s="42"/>
      <c r="U417" s="119" t="str" cm="1">
        <f t="array" ref="U417">IF(C417="",INDEX(C409:C417,MATCH(TRUE,INDEX((C409:C417&lt;&gt;""),0),0)),C417)</f>
        <v>Britoil Diligance</v>
      </c>
      <c r="V417" s="120">
        <f t="shared" si="69"/>
        <v>1.1428838601084721</v>
      </c>
      <c r="W417" s="122">
        <v>20000</v>
      </c>
      <c r="X417" s="120"/>
      <c r="Y417" s="120">
        <f t="shared" si="68"/>
        <v>24444</v>
      </c>
      <c r="Z417" s="121"/>
    </row>
    <row r="418" spans="1:26" ht="25" customHeight="1" outlineLevel="1" x14ac:dyDescent="0.35">
      <c r="B418" s="164"/>
      <c r="C418" s="164"/>
      <c r="D418" s="164"/>
      <c r="E418" s="3" t="s">
        <v>103</v>
      </c>
      <c r="F418" s="31" t="s">
        <v>21</v>
      </c>
      <c r="G418" s="35"/>
      <c r="H418" s="57" t="str">
        <f t="shared" si="81"/>
        <v/>
      </c>
      <c r="I418" s="57" t="str">
        <f t="shared" si="82"/>
        <v/>
      </c>
      <c r="J418" s="58" t="str">
        <f t="shared" si="83"/>
        <v/>
      </c>
      <c r="K418" s="3"/>
      <c r="L418" s="42"/>
      <c r="U418" s="119" t="str" cm="1">
        <f t="array" ref="U418">IF(C418="",INDEX(C410:C418,MATCH(TRUE,INDEX((C410:C418&lt;&gt;""),0),0)),C418)</f>
        <v>Britoil Diligance</v>
      </c>
      <c r="V418" s="120">
        <f t="shared" si="69"/>
        <v>1.1428838601084721</v>
      </c>
      <c r="W418" s="122">
        <v>20000</v>
      </c>
      <c r="X418" s="120"/>
      <c r="Y418" s="120">
        <f t="shared" si="68"/>
        <v>24444</v>
      </c>
      <c r="Z418" s="121"/>
    </row>
    <row r="419" spans="1:26" ht="25" customHeight="1" outlineLevel="1" x14ac:dyDescent="0.35">
      <c r="B419" s="164"/>
      <c r="C419" s="164"/>
      <c r="D419" s="164"/>
      <c r="E419" s="3" t="s">
        <v>106</v>
      </c>
      <c r="F419" s="31" t="s">
        <v>17</v>
      </c>
      <c r="G419" s="35"/>
      <c r="H419" s="57">
        <f t="shared" si="81"/>
        <v>9485.9360389003177</v>
      </c>
      <c r="I419" s="57">
        <f t="shared" si="82"/>
        <v>4571.5354404338887</v>
      </c>
      <c r="J419" s="58">
        <f t="shared" si="83"/>
        <v>97.145128109220124</v>
      </c>
      <c r="K419" s="3"/>
      <c r="L419" s="42"/>
      <c r="U419" s="119" t="str" cm="1">
        <f t="array" ref="U419">IF(C419="",INDEX(C411:C419,MATCH(TRUE,INDEX((C411:C419&lt;&gt;""),0),0)),C419)</f>
        <v>Britoil Diligance</v>
      </c>
      <c r="V419" s="120">
        <f t="shared" si="69"/>
        <v>1.1428838601084721</v>
      </c>
      <c r="W419" s="122">
        <v>20000</v>
      </c>
      <c r="X419" s="120"/>
      <c r="Y419" s="120">
        <f t="shared" si="68"/>
        <v>24444</v>
      </c>
      <c r="Z419" s="121"/>
    </row>
    <row r="420" spans="1:26" ht="25" customHeight="1" outlineLevel="1" x14ac:dyDescent="0.35">
      <c r="B420" s="164"/>
      <c r="C420" s="164"/>
      <c r="D420" s="164"/>
      <c r="E420" s="3" t="s">
        <v>93</v>
      </c>
      <c r="F420" s="31" t="s">
        <v>105</v>
      </c>
      <c r="G420" s="35"/>
      <c r="H420" s="57" t="str">
        <f t="shared" si="81"/>
        <v/>
      </c>
      <c r="I420" s="57" t="str">
        <f t="shared" si="82"/>
        <v/>
      </c>
      <c r="J420" s="58" t="str">
        <f t="shared" si="83"/>
        <v/>
      </c>
      <c r="K420" s="3"/>
      <c r="L420" s="42"/>
      <c r="U420" s="119" t="str" cm="1">
        <f t="array" ref="U420">IF(C420="",INDEX(C414:C420,MATCH(TRUE,INDEX((C414:C420&lt;&gt;""),0),0)),C420)</f>
        <v>Britoil Diligance</v>
      </c>
      <c r="V420" s="120">
        <f t="shared" si="69"/>
        <v>1.1428838601084721</v>
      </c>
      <c r="W420" s="122">
        <v>20000</v>
      </c>
      <c r="X420" s="120"/>
      <c r="Y420" s="120">
        <f t="shared" si="68"/>
        <v>24444</v>
      </c>
      <c r="Z420" s="121"/>
    </row>
    <row r="421" spans="1:26" ht="25" customHeight="1" outlineLevel="1" x14ac:dyDescent="0.35">
      <c r="B421" s="164"/>
      <c r="C421" s="164"/>
      <c r="D421" s="164"/>
      <c r="E421" s="3" t="s">
        <v>310</v>
      </c>
      <c r="F421" s="31" t="s">
        <v>21</v>
      </c>
      <c r="G421" s="35"/>
      <c r="H421" s="57" t="str">
        <f t="shared" si="81"/>
        <v/>
      </c>
      <c r="I421" s="57" t="str">
        <f t="shared" si="82"/>
        <v/>
      </c>
      <c r="J421" s="58" t="str">
        <f t="shared" si="83"/>
        <v/>
      </c>
      <c r="K421" s="3"/>
      <c r="L421" s="42"/>
      <c r="U421" s="119" t="str" cm="1">
        <f t="array" ref="U421">IF(C421="",INDEX(C415:C421,MATCH(TRUE,INDEX((C415:C421&lt;&gt;""),0),0)),C421)</f>
        <v>Britoil Diligance</v>
      </c>
      <c r="V421" s="120">
        <f t="shared" ref="V421" si="88">MIN(Y421/21388,1.3)</f>
        <v>1.1428838601084721</v>
      </c>
      <c r="W421" s="122">
        <v>20001</v>
      </c>
      <c r="X421" s="120"/>
      <c r="Y421" s="120">
        <f t="shared" ref="Y421" si="89">INT(VLOOKUP(U421, $AB$30:$AH$101, 7, FALSE))</f>
        <v>24444</v>
      </c>
      <c r="Z421" s="121"/>
    </row>
    <row r="422" spans="1:26" ht="25" customHeight="1" outlineLevel="1" x14ac:dyDescent="0.35">
      <c r="B422" s="164"/>
      <c r="C422" s="164"/>
      <c r="D422" s="164"/>
      <c r="E422" s="3" t="s">
        <v>109</v>
      </c>
      <c r="F422" s="31" t="s">
        <v>105</v>
      </c>
      <c r="G422" s="35"/>
      <c r="H422" s="57" t="str">
        <f t="shared" si="81"/>
        <v/>
      </c>
      <c r="I422" s="57" t="str">
        <f t="shared" si="82"/>
        <v/>
      </c>
      <c r="J422" s="58" t="str">
        <f t="shared" si="83"/>
        <v/>
      </c>
      <c r="K422" s="3"/>
      <c r="L422" s="42"/>
      <c r="U422" s="119" t="str" cm="1">
        <f t="array" ref="U422">IF(C422="",INDEX(C415:C422,MATCH(TRUE,INDEX((C415:C422&lt;&gt;""),0),0)),C422)</f>
        <v>Britoil Diligance</v>
      </c>
      <c r="V422" s="120">
        <f t="shared" si="69"/>
        <v>1.1428838601084721</v>
      </c>
      <c r="W422" s="122">
        <v>20000</v>
      </c>
      <c r="X422" s="120"/>
      <c r="Y422" s="120">
        <f t="shared" si="68"/>
        <v>24444</v>
      </c>
      <c r="Z422" s="121"/>
    </row>
    <row r="423" spans="1:26" ht="25" customHeight="1" outlineLevel="1" x14ac:dyDescent="0.35">
      <c r="B423" s="164"/>
      <c r="C423" s="164"/>
      <c r="D423" s="164"/>
      <c r="E423" s="3" t="s">
        <v>110</v>
      </c>
      <c r="F423" s="31" t="s">
        <v>21</v>
      </c>
      <c r="G423" s="35"/>
      <c r="H423" s="57" t="str">
        <f t="shared" si="81"/>
        <v/>
      </c>
      <c r="I423" s="57" t="str">
        <f t="shared" si="82"/>
        <v/>
      </c>
      <c r="J423" s="58" t="str">
        <f t="shared" si="83"/>
        <v/>
      </c>
      <c r="K423" s="3"/>
      <c r="L423" s="42"/>
      <c r="U423" s="119" t="str" cm="1">
        <f t="array" ref="U423">IF(C423="",INDEX(C416:C423,MATCH(TRUE,INDEX((C416:C423&lt;&gt;""),0),0)),C423)</f>
        <v>Britoil Diligance</v>
      </c>
      <c r="V423" s="120">
        <f t="shared" si="69"/>
        <v>1.1428838601084721</v>
      </c>
      <c r="W423" s="122">
        <v>20000</v>
      </c>
      <c r="X423" s="120"/>
      <c r="Y423" s="120">
        <f t="shared" ref="Y423:Y451" si="90">INT(VLOOKUP(U423, $AB$30:$AH$101, 7, FALSE))</f>
        <v>24444</v>
      </c>
      <c r="Z423" s="121"/>
    </row>
    <row r="424" spans="1:26" ht="25" customHeight="1" outlineLevel="1" x14ac:dyDescent="0.35">
      <c r="B424" s="165"/>
      <c r="C424" s="165"/>
      <c r="D424" s="165"/>
      <c r="E424" s="4" t="s">
        <v>14</v>
      </c>
      <c r="F424" s="31" t="s">
        <v>105</v>
      </c>
      <c r="G424" s="39"/>
      <c r="H424" s="65" t="str">
        <f t="shared" si="81"/>
        <v/>
      </c>
      <c r="I424" s="65" t="str">
        <f t="shared" si="82"/>
        <v/>
      </c>
      <c r="J424" s="66" t="str">
        <f t="shared" si="83"/>
        <v/>
      </c>
      <c r="K424" s="4"/>
      <c r="L424" s="43"/>
      <c r="U424" s="119" t="s">
        <v>306</v>
      </c>
      <c r="V424" s="120">
        <f t="shared" ref="V424:V451" si="91">MIN(Y424/21388,1.3)</f>
        <v>1.1428838601084721</v>
      </c>
      <c r="W424" s="122">
        <v>20000</v>
      </c>
      <c r="X424" s="120"/>
      <c r="Y424" s="120">
        <f t="shared" si="90"/>
        <v>24444</v>
      </c>
      <c r="Z424" s="121"/>
    </row>
    <row r="425" spans="1:26" ht="30" customHeight="1" x14ac:dyDescent="0.35">
      <c r="A425" s="8" t="s">
        <v>133</v>
      </c>
      <c r="B425" s="160">
        <v>66</v>
      </c>
      <c r="C425" s="160" t="s">
        <v>94</v>
      </c>
      <c r="D425" s="160" t="s">
        <v>88</v>
      </c>
      <c r="E425" s="27" t="s">
        <v>102</v>
      </c>
      <c r="F425" s="32"/>
      <c r="G425" s="37"/>
      <c r="H425" s="61" t="str">
        <f t="shared" si="81"/>
        <v/>
      </c>
      <c r="I425" s="61" t="str">
        <f t="shared" si="82"/>
        <v/>
      </c>
      <c r="J425" s="62" t="str">
        <f t="shared" si="83"/>
        <v/>
      </c>
      <c r="K425" s="6"/>
      <c r="L425" s="44"/>
      <c r="U425" s="119" t="str" cm="1">
        <f t="array" ref="U425">IF(C425="",INDEX(C418:C425,MATCH(TRUE,INDEX((C418:C425&lt;&gt;""),0),0)),C425)</f>
        <v>Mashhor Princess</v>
      </c>
      <c r="V425" s="120">
        <f t="shared" si="91"/>
        <v>0.85716289508135401</v>
      </c>
      <c r="W425" s="122">
        <v>20000</v>
      </c>
      <c r="X425" s="120"/>
      <c r="Y425" s="120">
        <f t="shared" si="90"/>
        <v>18333</v>
      </c>
      <c r="Z425" s="121"/>
    </row>
    <row r="426" spans="1:26" ht="25" customHeight="1" outlineLevel="1" x14ac:dyDescent="0.35">
      <c r="B426" s="161"/>
      <c r="C426" s="161"/>
      <c r="D426" s="161"/>
      <c r="E426" s="6" t="s">
        <v>13</v>
      </c>
      <c r="F426" s="32" t="s">
        <v>32</v>
      </c>
      <c r="G426" s="37"/>
      <c r="H426" s="61" t="str">
        <f t="shared" si="81"/>
        <v/>
      </c>
      <c r="I426" s="61" t="str">
        <f t="shared" si="82"/>
        <v/>
      </c>
      <c r="J426" s="62" t="str">
        <f t="shared" si="83"/>
        <v/>
      </c>
      <c r="K426" s="6"/>
      <c r="L426" s="45"/>
      <c r="U426" s="119" t="str" cm="1">
        <f t="array" ref="U426">IF(C426="",INDEX(C419:C426,MATCH(TRUE,INDEX((C419:C426&lt;&gt;""),0),0)),C426)</f>
        <v>Mashhor Princess</v>
      </c>
      <c r="V426" s="120">
        <f t="shared" si="91"/>
        <v>0.85716289508135401</v>
      </c>
      <c r="W426" s="122">
        <v>20000</v>
      </c>
      <c r="X426" s="120"/>
      <c r="Y426" s="120">
        <f t="shared" si="90"/>
        <v>18333</v>
      </c>
      <c r="Z426" s="121"/>
    </row>
    <row r="427" spans="1:26" ht="25" customHeight="1" outlineLevel="1" x14ac:dyDescent="0.35">
      <c r="B427" s="161"/>
      <c r="C427" s="161"/>
      <c r="D427" s="161"/>
      <c r="E427" s="6" t="s">
        <v>106</v>
      </c>
      <c r="F427" s="32" t="s">
        <v>17</v>
      </c>
      <c r="G427" s="37"/>
      <c r="H427" s="61">
        <f t="shared" si="81"/>
        <v>7114.4520291752387</v>
      </c>
      <c r="I427" s="61">
        <f t="shared" si="82"/>
        <v>3428.651580325416</v>
      </c>
      <c r="J427" s="62">
        <f t="shared" si="83"/>
        <v>72.85884608191509</v>
      </c>
      <c r="K427" s="6"/>
      <c r="L427" s="45"/>
      <c r="U427" s="119" t="str" cm="1">
        <f t="array" ref="U427">IF(C427="",INDEX(C420:C427,MATCH(TRUE,INDEX((C420:C427&lt;&gt;""),0),0)),C427)</f>
        <v>Mashhor Princess</v>
      </c>
      <c r="V427" s="120">
        <f t="shared" si="91"/>
        <v>0.85716289508135401</v>
      </c>
      <c r="W427" s="122">
        <v>20000</v>
      </c>
      <c r="X427" s="120"/>
      <c r="Y427" s="120">
        <f t="shared" si="90"/>
        <v>18333</v>
      </c>
      <c r="Z427" s="121"/>
    </row>
    <row r="428" spans="1:26" ht="25" customHeight="1" outlineLevel="1" x14ac:dyDescent="0.35">
      <c r="B428" s="161"/>
      <c r="C428" s="161"/>
      <c r="D428" s="161"/>
      <c r="E428" s="6" t="s">
        <v>109</v>
      </c>
      <c r="F428" s="32" t="s">
        <v>21</v>
      </c>
      <c r="G428" s="37"/>
      <c r="H428" s="61" t="str">
        <f t="shared" si="81"/>
        <v/>
      </c>
      <c r="I428" s="61" t="str">
        <f t="shared" si="82"/>
        <v/>
      </c>
      <c r="J428" s="62" t="str">
        <f t="shared" si="83"/>
        <v/>
      </c>
      <c r="K428" s="6"/>
      <c r="L428" s="45"/>
      <c r="U428" s="119" t="str" cm="1">
        <f t="array" ref="U428">IF(C428="",INDEX(C422:C428,MATCH(TRUE,INDEX((C422:C428&lt;&gt;""),0),0)),C428)</f>
        <v>Mashhor Princess</v>
      </c>
      <c r="V428" s="120">
        <f t="shared" si="91"/>
        <v>0.85716289508135401</v>
      </c>
      <c r="W428" s="122">
        <v>20000</v>
      </c>
      <c r="X428" s="120"/>
      <c r="Y428" s="120">
        <f t="shared" si="90"/>
        <v>18333</v>
      </c>
      <c r="Z428" s="121"/>
    </row>
    <row r="429" spans="1:26" ht="25" customHeight="1" outlineLevel="1" x14ac:dyDescent="0.35">
      <c r="B429" s="161"/>
      <c r="C429" s="161"/>
      <c r="D429" s="161"/>
      <c r="E429" s="6" t="s">
        <v>310</v>
      </c>
      <c r="F429" s="32" t="s">
        <v>21</v>
      </c>
      <c r="G429" s="37"/>
      <c r="H429" s="61" t="str">
        <f t="shared" si="81"/>
        <v/>
      </c>
      <c r="I429" s="61" t="str">
        <f t="shared" si="82"/>
        <v/>
      </c>
      <c r="J429" s="62" t="str">
        <f t="shared" si="83"/>
        <v/>
      </c>
      <c r="K429" s="6"/>
      <c r="L429" s="45"/>
      <c r="U429" s="119" t="str" cm="1">
        <f t="array" ref="U429">IF(C429="",INDEX(C423:C429,MATCH(TRUE,INDEX((C423:C429&lt;&gt;""),0),0)),C429)</f>
        <v>Mashhor Princess</v>
      </c>
      <c r="V429" s="120">
        <f t="shared" ref="V429" si="92">MIN(Y429/21388,1.3)</f>
        <v>0.85716289508135401</v>
      </c>
      <c r="W429" s="122">
        <v>20001</v>
      </c>
      <c r="X429" s="120"/>
      <c r="Y429" s="120">
        <f t="shared" ref="Y429" si="93">INT(VLOOKUP(U429, $AB$30:$AH$101, 7, FALSE))</f>
        <v>18333</v>
      </c>
      <c r="Z429" s="121"/>
    </row>
    <row r="430" spans="1:26" ht="25" customHeight="1" outlineLevel="1" x14ac:dyDescent="0.35">
      <c r="B430" s="161"/>
      <c r="C430" s="161"/>
      <c r="D430" s="161"/>
      <c r="E430" s="6" t="s">
        <v>110</v>
      </c>
      <c r="F430" s="32" t="s">
        <v>32</v>
      </c>
      <c r="G430" s="37"/>
      <c r="H430" s="61" t="str">
        <f t="shared" si="81"/>
        <v/>
      </c>
      <c r="I430" s="61" t="str">
        <f t="shared" si="82"/>
        <v/>
      </c>
      <c r="J430" s="62" t="str">
        <f t="shared" si="83"/>
        <v/>
      </c>
      <c r="K430" s="6"/>
      <c r="L430" s="45"/>
      <c r="U430" s="119" t="str" cm="1">
        <f t="array" ref="U430">IF(C430="",INDEX(C423:C430,MATCH(TRUE,INDEX((C423:C430&lt;&gt;""),0),0)),C430)</f>
        <v>Mashhor Princess</v>
      </c>
      <c r="V430" s="120">
        <f t="shared" si="91"/>
        <v>0.85716289508135401</v>
      </c>
      <c r="W430" s="122">
        <v>20000</v>
      </c>
      <c r="X430" s="120"/>
      <c r="Y430" s="120">
        <f t="shared" si="90"/>
        <v>18333</v>
      </c>
      <c r="Z430" s="121"/>
    </row>
    <row r="431" spans="1:26" ht="25" customHeight="1" outlineLevel="1" x14ac:dyDescent="0.35">
      <c r="B431" s="162"/>
      <c r="C431" s="162"/>
      <c r="D431" s="162"/>
      <c r="E431" s="7" t="s">
        <v>14</v>
      </c>
      <c r="F431" s="32" t="s">
        <v>32</v>
      </c>
      <c r="G431" s="37"/>
      <c r="H431" s="61" t="str">
        <f t="shared" si="81"/>
        <v/>
      </c>
      <c r="I431" s="61" t="str">
        <f t="shared" si="82"/>
        <v/>
      </c>
      <c r="J431" s="62" t="str">
        <f t="shared" si="83"/>
        <v/>
      </c>
      <c r="K431" s="6"/>
      <c r="L431" s="46"/>
      <c r="U431" s="119" t="str" cm="1">
        <f t="array" ref="U431">IF(C431="",INDEX(C424:C431,MATCH(TRUE,INDEX((C424:C431&lt;&gt;""),0),0)),C431)</f>
        <v>Mashhor Princess</v>
      </c>
      <c r="V431" s="120">
        <f t="shared" si="91"/>
        <v>0.85716289508135401</v>
      </c>
      <c r="W431" s="122">
        <v>20000</v>
      </c>
      <c r="X431" s="120"/>
      <c r="Y431" s="120">
        <f t="shared" si="90"/>
        <v>18333</v>
      </c>
      <c r="Z431" s="121"/>
    </row>
    <row r="432" spans="1:26" ht="30" customHeight="1" x14ac:dyDescent="0.35">
      <c r="A432" s="8" t="s">
        <v>133</v>
      </c>
      <c r="B432" s="163">
        <v>67</v>
      </c>
      <c r="C432" s="163" t="s">
        <v>95</v>
      </c>
      <c r="D432" s="163" t="s">
        <v>12</v>
      </c>
      <c r="E432" s="26" t="s">
        <v>102</v>
      </c>
      <c r="F432" s="31"/>
      <c r="G432" s="34"/>
      <c r="H432" s="55" t="str">
        <f t="shared" si="78"/>
        <v/>
      </c>
      <c r="I432" s="55" t="str">
        <f t="shared" si="79"/>
        <v/>
      </c>
      <c r="J432" s="56" t="str">
        <f t="shared" si="80"/>
        <v/>
      </c>
      <c r="K432" s="2"/>
      <c r="L432" s="41"/>
      <c r="U432" s="119" t="str" cm="1">
        <f t="array" ref="U432">IF(C432="",INDEX(C425:C432,MATCH(TRUE,INDEX((C425:C432&lt;&gt;""),0),0)),C432)</f>
        <v>ENA Habitat</v>
      </c>
      <c r="V432" s="120">
        <f t="shared" si="91"/>
        <v>0.85716289508135401</v>
      </c>
      <c r="W432" s="122">
        <v>20000</v>
      </c>
      <c r="X432" s="120"/>
      <c r="Y432" s="120">
        <f t="shared" si="90"/>
        <v>18333</v>
      </c>
      <c r="Z432" s="121"/>
    </row>
    <row r="433" spans="2:26" ht="25" customHeight="1" outlineLevel="1" x14ac:dyDescent="0.35">
      <c r="B433" s="164"/>
      <c r="C433" s="164"/>
      <c r="D433" s="164"/>
      <c r="E433" s="3" t="s">
        <v>13</v>
      </c>
      <c r="F433" s="31" t="s">
        <v>32</v>
      </c>
      <c r="G433" s="35"/>
      <c r="H433" s="57" t="str">
        <f t="shared" si="78"/>
        <v/>
      </c>
      <c r="I433" s="57" t="str">
        <f t="shared" si="79"/>
        <v/>
      </c>
      <c r="J433" s="58" t="str">
        <f t="shared" si="80"/>
        <v/>
      </c>
      <c r="K433" s="3"/>
      <c r="L433" s="42"/>
      <c r="U433" s="119" t="str" cm="1">
        <f t="array" ref="U433">IF(C433="",INDEX(C426:C433,MATCH(TRUE,INDEX((C426:C433&lt;&gt;""),0),0)),C433)</f>
        <v>ENA Habitat</v>
      </c>
      <c r="V433" s="120">
        <f t="shared" si="91"/>
        <v>0.85716289508135401</v>
      </c>
      <c r="W433" s="122">
        <v>20000</v>
      </c>
      <c r="X433" s="120"/>
      <c r="Y433" s="120">
        <f t="shared" si="90"/>
        <v>18333</v>
      </c>
      <c r="Z433" s="121"/>
    </row>
    <row r="434" spans="2:26" ht="25" customHeight="1" outlineLevel="1" x14ac:dyDescent="0.35">
      <c r="B434" s="164"/>
      <c r="C434" s="164"/>
      <c r="D434" s="164"/>
      <c r="E434" s="3" t="s">
        <v>109</v>
      </c>
      <c r="F434" s="31" t="s">
        <v>21</v>
      </c>
      <c r="G434" s="35"/>
      <c r="H434" s="57" t="str">
        <f t="shared" si="78"/>
        <v/>
      </c>
      <c r="I434" s="57" t="str">
        <f t="shared" si="79"/>
        <v/>
      </c>
      <c r="J434" s="58" t="str">
        <f t="shared" si="80"/>
        <v/>
      </c>
      <c r="K434" s="3"/>
      <c r="L434" s="42"/>
      <c r="U434" s="119" t="str" cm="1">
        <f t="array" ref="U434">IF(C434="",INDEX(C427:C434,MATCH(TRUE,INDEX((C427:C434&lt;&gt;""),0),0)),C434)</f>
        <v>ENA Habitat</v>
      </c>
      <c r="V434" s="120">
        <f t="shared" si="91"/>
        <v>0.85716289508135401</v>
      </c>
      <c r="W434" s="122">
        <v>20000</v>
      </c>
      <c r="X434" s="120"/>
      <c r="Y434" s="120">
        <f t="shared" si="90"/>
        <v>18333</v>
      </c>
      <c r="Z434" s="121"/>
    </row>
    <row r="435" spans="2:26" ht="25" customHeight="1" outlineLevel="1" x14ac:dyDescent="0.35">
      <c r="B435" s="164"/>
      <c r="C435" s="164"/>
      <c r="D435" s="164"/>
      <c r="E435" s="3" t="s">
        <v>106</v>
      </c>
      <c r="F435" s="31" t="s">
        <v>17</v>
      </c>
      <c r="G435" s="35"/>
      <c r="H435" s="57">
        <f t="shared" si="78"/>
        <v>7114.4520291752387</v>
      </c>
      <c r="I435" s="57">
        <f t="shared" si="79"/>
        <v>3428.651580325416</v>
      </c>
      <c r="J435" s="58">
        <f t="shared" si="80"/>
        <v>72.85884608191509</v>
      </c>
      <c r="K435" s="3"/>
      <c r="L435" s="42"/>
      <c r="U435" s="119" t="str" cm="1">
        <f t="array" ref="U435">IF(C435="",INDEX(C428:C435,MATCH(TRUE,INDEX((C428:C435&lt;&gt;""),0),0)),C435)</f>
        <v>ENA Habitat</v>
      </c>
      <c r="V435" s="120">
        <f t="shared" si="91"/>
        <v>0.85716289508135401</v>
      </c>
      <c r="W435" s="122">
        <v>20000</v>
      </c>
      <c r="X435" s="120"/>
      <c r="Y435" s="120">
        <f t="shared" si="90"/>
        <v>18333</v>
      </c>
      <c r="Z435" s="121"/>
    </row>
    <row r="436" spans="2:26" ht="25" customHeight="1" outlineLevel="1" x14ac:dyDescent="0.35">
      <c r="B436" s="164"/>
      <c r="C436" s="164"/>
      <c r="D436" s="164"/>
      <c r="E436" s="3" t="s">
        <v>110</v>
      </c>
      <c r="F436" s="31" t="s">
        <v>32</v>
      </c>
      <c r="G436" s="35"/>
      <c r="H436" s="57" t="str">
        <f t="shared" si="78"/>
        <v/>
      </c>
      <c r="I436" s="57" t="str">
        <f t="shared" si="79"/>
        <v/>
      </c>
      <c r="J436" s="58" t="str">
        <f t="shared" si="80"/>
        <v/>
      </c>
      <c r="K436" s="3"/>
      <c r="L436" s="42"/>
      <c r="U436" s="119" t="str" cm="1">
        <f t="array" ref="U436">IF(C436="",INDEX(C430:C436,MATCH(TRUE,INDEX((C430:C436&lt;&gt;""),0),0)),C436)</f>
        <v>ENA Habitat</v>
      </c>
      <c r="V436" s="120">
        <f t="shared" si="91"/>
        <v>0.85716289508135401</v>
      </c>
      <c r="W436" s="122">
        <v>20000</v>
      </c>
      <c r="X436" s="120"/>
      <c r="Y436" s="120">
        <f t="shared" si="90"/>
        <v>18333</v>
      </c>
      <c r="Z436" s="121"/>
    </row>
    <row r="437" spans="2:26" ht="25" customHeight="1" outlineLevel="1" x14ac:dyDescent="0.35">
      <c r="B437" s="165"/>
      <c r="C437" s="165"/>
      <c r="D437" s="165"/>
      <c r="E437" s="4" t="s">
        <v>14</v>
      </c>
      <c r="F437" s="31" t="s">
        <v>32</v>
      </c>
      <c r="G437" s="39"/>
      <c r="H437" s="65" t="str">
        <f t="shared" si="78"/>
        <v/>
      </c>
      <c r="I437" s="65" t="str">
        <f t="shared" si="79"/>
        <v/>
      </c>
      <c r="J437" s="66" t="str">
        <f t="shared" si="80"/>
        <v/>
      </c>
      <c r="K437" s="4"/>
      <c r="L437" s="43"/>
      <c r="U437" s="119" t="str" cm="1">
        <f t="array" ref="U437">IF(C437="",INDEX(C431:C437,MATCH(TRUE,INDEX((C431:C437&lt;&gt;""),0),0)),C437)</f>
        <v>ENA Habitat</v>
      </c>
      <c r="V437" s="120">
        <f t="shared" si="91"/>
        <v>0.85716289508135401</v>
      </c>
      <c r="W437" s="122">
        <v>20000</v>
      </c>
      <c r="X437" s="120"/>
      <c r="Y437" s="120">
        <f t="shared" si="90"/>
        <v>18333</v>
      </c>
      <c r="Z437" s="121"/>
    </row>
    <row r="438" spans="2:26" ht="25" customHeight="1" x14ac:dyDescent="0.35">
      <c r="B438" s="160">
        <v>68</v>
      </c>
      <c r="C438" s="160" t="s">
        <v>308</v>
      </c>
      <c r="D438" s="160" t="s">
        <v>88</v>
      </c>
      <c r="E438" s="27" t="s">
        <v>102</v>
      </c>
      <c r="F438" s="32"/>
      <c r="G438" s="37"/>
      <c r="H438" s="61" t="str">
        <f t="shared" si="78"/>
        <v/>
      </c>
      <c r="I438" s="61" t="str">
        <f t="shared" si="79"/>
        <v/>
      </c>
      <c r="J438" s="62" t="str">
        <f t="shared" si="80"/>
        <v/>
      </c>
      <c r="K438" s="6"/>
      <c r="L438" s="44"/>
      <c r="U438" s="72" t="str" cm="1">
        <f t="array" ref="U438">IF(C438="",INDEX(C432:C438,MATCH(TRUE,INDEX((C432:C438&lt;&gt;""),0),0)),C438)</f>
        <v>Britoil Dominance</v>
      </c>
      <c r="V438" s="120">
        <f t="shared" si="91"/>
        <v>1</v>
      </c>
      <c r="W438" s="122">
        <v>20000</v>
      </c>
      <c r="X438" s="120"/>
      <c r="Y438" s="120">
        <f t="shared" si="90"/>
        <v>21388</v>
      </c>
      <c r="Z438" s="138"/>
    </row>
    <row r="439" spans="2:26" ht="25" customHeight="1" x14ac:dyDescent="0.35">
      <c r="B439" s="161"/>
      <c r="C439" s="161"/>
      <c r="D439" s="161"/>
      <c r="E439" s="6" t="s">
        <v>13</v>
      </c>
      <c r="F439" s="32"/>
      <c r="G439" s="37"/>
      <c r="H439" s="61" t="str">
        <f t="shared" si="78"/>
        <v/>
      </c>
      <c r="I439" s="61" t="str">
        <f t="shared" si="79"/>
        <v/>
      </c>
      <c r="J439" s="62" t="str">
        <f t="shared" si="80"/>
        <v/>
      </c>
      <c r="K439" s="6"/>
      <c r="L439" s="45"/>
      <c r="U439" s="72" t="str" cm="1">
        <f t="array" ref="U439">IF(C439="",INDEX(C433:C439,MATCH(TRUE,INDEX((C433:C439&lt;&gt;""),0),0)),C439)</f>
        <v>Britoil Dominance</v>
      </c>
      <c r="V439" s="120">
        <f t="shared" si="91"/>
        <v>1</v>
      </c>
      <c r="W439" s="122">
        <v>20000</v>
      </c>
      <c r="X439" s="120"/>
      <c r="Y439" s="120">
        <f t="shared" si="90"/>
        <v>21388</v>
      </c>
      <c r="Z439" s="138"/>
    </row>
    <row r="440" spans="2:26" ht="25" customHeight="1" x14ac:dyDescent="0.35">
      <c r="B440" s="161"/>
      <c r="C440" s="161"/>
      <c r="D440" s="161"/>
      <c r="E440" s="6" t="s">
        <v>103</v>
      </c>
      <c r="F440" s="32"/>
      <c r="G440" s="37"/>
      <c r="H440" s="61" t="str">
        <f t="shared" si="78"/>
        <v/>
      </c>
      <c r="I440" s="61" t="str">
        <f t="shared" si="79"/>
        <v/>
      </c>
      <c r="J440" s="62" t="str">
        <f t="shared" si="80"/>
        <v/>
      </c>
      <c r="K440" s="6"/>
      <c r="L440" s="45"/>
      <c r="U440" s="72" t="str" cm="1">
        <f t="array" ref="U440">IF(C440="",INDEX(C434:C440,MATCH(TRUE,INDEX((C434:C440&lt;&gt;""),0),0)),C440)</f>
        <v>Britoil Dominance</v>
      </c>
      <c r="V440" s="120">
        <f t="shared" ref="V440" si="94">MIN(Y440/21388,1.3)</f>
        <v>1</v>
      </c>
      <c r="W440" s="122">
        <v>20001</v>
      </c>
      <c r="X440" s="120"/>
      <c r="Y440" s="120">
        <f t="shared" ref="Y440" si="95">INT(VLOOKUP(U440, $AB$30:$AH$101, 7, FALSE))</f>
        <v>21388</v>
      </c>
      <c r="Z440" s="138"/>
    </row>
    <row r="441" spans="2:26" ht="25" customHeight="1" x14ac:dyDescent="0.35">
      <c r="B441" s="161"/>
      <c r="C441" s="161"/>
      <c r="D441" s="161"/>
      <c r="E441" s="6" t="s">
        <v>106</v>
      </c>
      <c r="F441" s="32"/>
      <c r="G441" s="37"/>
      <c r="H441" s="61" t="str">
        <f t="shared" si="78"/>
        <v/>
      </c>
      <c r="I441" s="61" t="str">
        <f t="shared" si="79"/>
        <v/>
      </c>
      <c r="J441" s="62" t="str">
        <f t="shared" si="80"/>
        <v/>
      </c>
      <c r="K441" s="6"/>
      <c r="L441" s="45"/>
      <c r="U441" s="72" t="str" cm="1">
        <f t="array" ref="U441">IF(C441="",INDEX(C434:C441,MATCH(TRUE,INDEX((C434:C441&lt;&gt;""),0),0)),C441)</f>
        <v>Britoil Dominance</v>
      </c>
      <c r="V441" s="120">
        <f t="shared" si="91"/>
        <v>1</v>
      </c>
      <c r="W441" s="122">
        <v>20000</v>
      </c>
      <c r="X441" s="120"/>
      <c r="Y441" s="120">
        <f t="shared" si="90"/>
        <v>21388</v>
      </c>
      <c r="Z441" s="138"/>
    </row>
    <row r="442" spans="2:26" ht="25" customHeight="1" x14ac:dyDescent="0.35">
      <c r="B442" s="161"/>
      <c r="C442" s="161"/>
      <c r="D442" s="161"/>
      <c r="E442" s="6" t="s">
        <v>109</v>
      </c>
      <c r="F442" s="32"/>
      <c r="G442" s="37"/>
      <c r="H442" s="61" t="str">
        <f t="shared" si="78"/>
        <v/>
      </c>
      <c r="I442" s="61" t="str">
        <f t="shared" si="79"/>
        <v/>
      </c>
      <c r="J442" s="62" t="str">
        <f t="shared" si="80"/>
        <v/>
      </c>
      <c r="K442" s="6"/>
      <c r="L442" s="45"/>
      <c r="U442" s="72" t="str" cm="1">
        <f t="array" ref="U442">IF(C442="",INDEX(C435:C442,MATCH(TRUE,INDEX((C435:C442&lt;&gt;""),0),0)),C442)</f>
        <v>Britoil Dominance</v>
      </c>
      <c r="V442" s="120">
        <f t="shared" si="91"/>
        <v>1</v>
      </c>
      <c r="W442" s="122">
        <v>20000</v>
      </c>
      <c r="X442" s="120"/>
      <c r="Y442" s="120">
        <f t="shared" si="90"/>
        <v>21388</v>
      </c>
      <c r="Z442" s="138"/>
    </row>
    <row r="443" spans="2:26" ht="25" customHeight="1" x14ac:dyDescent="0.35">
      <c r="B443" s="161"/>
      <c r="C443" s="161"/>
      <c r="D443" s="161"/>
      <c r="E443" s="6" t="s">
        <v>290</v>
      </c>
      <c r="F443" s="32" t="s">
        <v>105</v>
      </c>
      <c r="G443" s="37"/>
      <c r="H443" s="61" t="str">
        <f t="shared" si="78"/>
        <v/>
      </c>
      <c r="I443" s="61" t="str">
        <f t="shared" si="79"/>
        <v/>
      </c>
      <c r="J443" s="62" t="str">
        <f t="shared" si="80"/>
        <v/>
      </c>
      <c r="K443" s="6"/>
      <c r="L443" s="45"/>
      <c r="U443" s="72" t="str" cm="1">
        <f t="array" ref="U443">IF(C443="",INDEX(C436:C443,MATCH(TRUE,INDEX((C436:C443&lt;&gt;""),0),0)),C443)</f>
        <v>Britoil Dominance</v>
      </c>
      <c r="V443" s="120">
        <f t="shared" ref="V443" si="96">MIN(Y443/21388,1.3)</f>
        <v>1</v>
      </c>
      <c r="W443" s="122">
        <v>20001</v>
      </c>
      <c r="X443" s="120"/>
      <c r="Y443" s="120">
        <f t="shared" ref="Y443" si="97">INT(VLOOKUP(U443, $AB$30:$AH$101, 7, FALSE))</f>
        <v>21388</v>
      </c>
      <c r="Z443" s="138"/>
    </row>
    <row r="444" spans="2:26" ht="25" customHeight="1" x14ac:dyDescent="0.35">
      <c r="B444" s="161"/>
      <c r="C444" s="161"/>
      <c r="D444" s="161"/>
      <c r="E444" s="6" t="s">
        <v>110</v>
      </c>
      <c r="F444" s="32"/>
      <c r="G444" s="37"/>
      <c r="H444" s="61" t="str">
        <f t="shared" si="78"/>
        <v/>
      </c>
      <c r="I444" s="61" t="str">
        <f t="shared" si="79"/>
        <v/>
      </c>
      <c r="J444" s="62" t="str">
        <f t="shared" si="80"/>
        <v/>
      </c>
      <c r="K444" s="6"/>
      <c r="L444" s="45"/>
      <c r="U444" s="72" t="str" cm="1">
        <f t="array" ref="U444">IF(C444="",INDEX(C436:C444,MATCH(TRUE,INDEX((C436:C444&lt;&gt;""),0),0)),C444)</f>
        <v>Britoil Dominance</v>
      </c>
      <c r="V444" s="120">
        <f t="shared" si="91"/>
        <v>1</v>
      </c>
      <c r="W444" s="122">
        <v>20000</v>
      </c>
      <c r="X444" s="120"/>
      <c r="Y444" s="120">
        <f t="shared" si="90"/>
        <v>21388</v>
      </c>
      <c r="Z444" s="138"/>
    </row>
    <row r="445" spans="2:26" ht="25" customHeight="1" x14ac:dyDescent="0.35">
      <c r="B445" s="162"/>
      <c r="C445" s="162"/>
      <c r="D445" s="162"/>
      <c r="E445" s="7" t="s">
        <v>14</v>
      </c>
      <c r="F445" s="32" t="s">
        <v>105</v>
      </c>
      <c r="G445" s="37"/>
      <c r="H445" s="61" t="str">
        <f t="shared" si="78"/>
        <v/>
      </c>
      <c r="I445" s="61" t="str">
        <f t="shared" si="79"/>
        <v/>
      </c>
      <c r="J445" s="62" t="str">
        <f t="shared" si="80"/>
        <v/>
      </c>
      <c r="K445" s="6"/>
      <c r="L445" s="46"/>
      <c r="U445" s="72" t="str" cm="1">
        <f t="array" ref="U445">IF(C445="",INDEX(C437:C445,MATCH(TRUE,INDEX((C437:C445&lt;&gt;""),0),0)),C445)</f>
        <v>Britoil Dominance</v>
      </c>
      <c r="V445" s="120">
        <f t="shared" si="91"/>
        <v>1</v>
      </c>
      <c r="W445" s="122">
        <v>20000</v>
      </c>
      <c r="X445" s="120"/>
      <c r="Y445" s="120">
        <f t="shared" si="90"/>
        <v>21388</v>
      </c>
      <c r="Z445" s="138"/>
    </row>
    <row r="446" spans="2:26" ht="25" customHeight="1" x14ac:dyDescent="0.35">
      <c r="B446" s="163">
        <v>69</v>
      </c>
      <c r="C446" s="163" t="s">
        <v>307</v>
      </c>
      <c r="D446" s="163" t="s">
        <v>12</v>
      </c>
      <c r="E446" s="26" t="s">
        <v>102</v>
      </c>
      <c r="F446" s="31"/>
      <c r="G446" s="34"/>
      <c r="H446" s="55" t="str">
        <f t="shared" si="78"/>
        <v/>
      </c>
      <c r="I446" s="55" t="str">
        <f t="shared" si="79"/>
        <v/>
      </c>
      <c r="J446" s="56" t="str">
        <f t="shared" si="80"/>
        <v/>
      </c>
      <c r="K446" s="2"/>
      <c r="L446" s="41"/>
      <c r="U446" s="72" t="str" cm="1">
        <f t="array" ref="U446">IF(C446="",INDEX(C438:C446,MATCH(TRUE,INDEX((C438:C446&lt;&gt;""),0),0)),C446)</f>
        <v>Britoil Dignity</v>
      </c>
      <c r="V446" s="120">
        <f t="shared" si="91"/>
        <v>1</v>
      </c>
      <c r="W446" s="122">
        <v>20000</v>
      </c>
      <c r="X446" s="120"/>
      <c r="Y446" s="120">
        <f t="shared" si="90"/>
        <v>21388</v>
      </c>
      <c r="Z446" s="138"/>
    </row>
    <row r="447" spans="2:26" ht="25" customHeight="1" x14ac:dyDescent="0.35">
      <c r="B447" s="164"/>
      <c r="C447" s="164"/>
      <c r="D447" s="164"/>
      <c r="E447" s="3" t="s">
        <v>13</v>
      </c>
      <c r="F447" s="31"/>
      <c r="G447" s="35"/>
      <c r="H447" s="57" t="str">
        <f t="shared" si="78"/>
        <v/>
      </c>
      <c r="I447" s="57" t="str">
        <f t="shared" si="79"/>
        <v/>
      </c>
      <c r="J447" s="58" t="str">
        <f t="shared" si="80"/>
        <v/>
      </c>
      <c r="K447" s="3"/>
      <c r="L447" s="42"/>
      <c r="U447" s="72" t="str" cm="1">
        <f t="array" ref="U447">IF(C447="",INDEX(C439:C447,MATCH(TRUE,INDEX((C439:C447&lt;&gt;""),0),0)),C447)</f>
        <v>Britoil Dignity</v>
      </c>
      <c r="V447" s="120">
        <f t="shared" si="91"/>
        <v>1</v>
      </c>
      <c r="W447" s="122">
        <v>20000</v>
      </c>
      <c r="X447" s="120"/>
      <c r="Y447" s="120">
        <f t="shared" si="90"/>
        <v>21388</v>
      </c>
      <c r="Z447" s="138"/>
    </row>
    <row r="448" spans="2:26" ht="25" customHeight="1" x14ac:dyDescent="0.35">
      <c r="B448" s="164"/>
      <c r="C448" s="164"/>
      <c r="D448" s="164"/>
      <c r="E448" s="3" t="s">
        <v>109</v>
      </c>
      <c r="F448" s="31"/>
      <c r="G448" s="35"/>
      <c r="H448" s="57" t="str">
        <f t="shared" si="78"/>
        <v/>
      </c>
      <c r="I448" s="57" t="str">
        <f t="shared" si="79"/>
        <v/>
      </c>
      <c r="J448" s="58" t="str">
        <f t="shared" si="80"/>
        <v/>
      </c>
      <c r="K448" s="3"/>
      <c r="L448" s="42"/>
      <c r="U448" s="72" t="str" cm="1">
        <f t="array" ref="U448">IF(C448="",INDEX(C441:C448,MATCH(TRUE,INDEX((C441:C448&lt;&gt;""),0),0)),C448)</f>
        <v>Britoil Dignity</v>
      </c>
      <c r="V448" s="120">
        <f t="shared" si="91"/>
        <v>1</v>
      </c>
      <c r="W448" s="122">
        <v>20000</v>
      </c>
      <c r="X448" s="120"/>
      <c r="Y448" s="120">
        <f t="shared" si="90"/>
        <v>21388</v>
      </c>
      <c r="Z448" s="138"/>
    </row>
    <row r="449" spans="2:26" ht="25" customHeight="1" x14ac:dyDescent="0.35">
      <c r="B449" s="164"/>
      <c r="C449" s="164"/>
      <c r="D449" s="164"/>
      <c r="E449" s="3" t="s">
        <v>106</v>
      </c>
      <c r="F449" s="31"/>
      <c r="G449" s="35"/>
      <c r="H449" s="57" t="str">
        <f t="shared" si="78"/>
        <v/>
      </c>
      <c r="I449" s="57" t="str">
        <f t="shared" si="79"/>
        <v/>
      </c>
      <c r="J449" s="58" t="str">
        <f t="shared" si="80"/>
        <v/>
      </c>
      <c r="K449" s="3"/>
      <c r="L449" s="42"/>
      <c r="U449" s="72" t="str" cm="1">
        <f t="array" ref="U449">IF(C449="",INDEX(C442:C449,MATCH(TRUE,INDEX((C442:C449&lt;&gt;""),0),0)),C449)</f>
        <v>Britoil Dignity</v>
      </c>
      <c r="V449" s="120">
        <f t="shared" si="91"/>
        <v>1</v>
      </c>
      <c r="W449" s="122">
        <v>20000</v>
      </c>
      <c r="X449" s="120"/>
      <c r="Y449" s="120">
        <f t="shared" si="90"/>
        <v>21388</v>
      </c>
      <c r="Z449" s="138"/>
    </row>
    <row r="450" spans="2:26" ht="30" customHeight="1" x14ac:dyDescent="0.35">
      <c r="B450" s="164"/>
      <c r="C450" s="164"/>
      <c r="D450" s="164"/>
      <c r="E450" s="3" t="s">
        <v>110</v>
      </c>
      <c r="F450" s="31"/>
      <c r="G450" s="35"/>
      <c r="H450" s="57" t="str">
        <f t="shared" si="78"/>
        <v/>
      </c>
      <c r="I450" s="57" t="str">
        <f t="shared" si="79"/>
        <v/>
      </c>
      <c r="J450" s="58" t="str">
        <f t="shared" si="80"/>
        <v/>
      </c>
      <c r="K450" s="3"/>
      <c r="L450" s="42"/>
      <c r="U450" s="72" t="str" cm="1">
        <f t="array" ref="U450">IF(C450="",INDEX(C444:C450,MATCH(TRUE,INDEX((C444:C450&lt;&gt;""),0),0)),C450)</f>
        <v>Britoil Dignity</v>
      </c>
      <c r="V450" s="120">
        <f t="shared" si="91"/>
        <v>1</v>
      </c>
      <c r="W450" s="122">
        <v>20000</v>
      </c>
      <c r="X450" s="120"/>
      <c r="Y450" s="120">
        <f t="shared" si="90"/>
        <v>21388</v>
      </c>
      <c r="Z450" s="138"/>
    </row>
    <row r="451" spans="2:26" ht="41" customHeight="1" x14ac:dyDescent="0.35">
      <c r="B451" s="165"/>
      <c r="C451" s="165"/>
      <c r="D451" s="165"/>
      <c r="E451" s="4" t="s">
        <v>14</v>
      </c>
      <c r="F451" s="31" t="s">
        <v>105</v>
      </c>
      <c r="G451" s="39"/>
      <c r="H451" s="65" t="str">
        <f t="shared" si="78"/>
        <v/>
      </c>
      <c r="I451" s="65" t="str">
        <f t="shared" si="79"/>
        <v/>
      </c>
      <c r="J451" s="66" t="str">
        <f t="shared" si="80"/>
        <v/>
      </c>
      <c r="K451" s="4"/>
      <c r="L451" s="43"/>
      <c r="U451" s="72" t="str" cm="1">
        <f t="array" ref="U451">IF(C451="",INDEX(C445:C451,MATCH(TRUE,INDEX((C445:C451&lt;&gt;""),0),0)),C451)</f>
        <v>Britoil Dignity</v>
      </c>
      <c r="V451" s="120">
        <f t="shared" si="91"/>
        <v>1</v>
      </c>
      <c r="W451" s="122">
        <v>20000</v>
      </c>
      <c r="X451" s="120"/>
      <c r="Y451" s="120">
        <f t="shared" si="90"/>
        <v>21388</v>
      </c>
      <c r="Z451" s="138"/>
    </row>
    <row r="452" spans="2:26" ht="20.149999999999999" customHeight="1" x14ac:dyDescent="0.35">
      <c r="B452" s="160">
        <v>70</v>
      </c>
      <c r="C452" s="160" t="s">
        <v>301</v>
      </c>
      <c r="D452" s="160" t="s">
        <v>12</v>
      </c>
      <c r="E452" s="27" t="s">
        <v>102</v>
      </c>
      <c r="F452" s="32"/>
      <c r="G452" s="37"/>
      <c r="H452" s="61" t="str">
        <f t="shared" si="78"/>
        <v/>
      </c>
      <c r="I452" s="61" t="str">
        <f t="shared" si="79"/>
        <v/>
      </c>
      <c r="J452" s="62" t="str">
        <f t="shared" si="80"/>
        <v/>
      </c>
      <c r="K452" s="6"/>
      <c r="L452" s="44"/>
      <c r="U452" s="72" t="str" cm="1">
        <f t="array" ref="U452">IF(C452="",INDEX(C446:C452,MATCH(TRUE,INDEX((C446:C452&lt;&gt;""),0),0)),C452)</f>
        <v>Britoil Dynamic</v>
      </c>
      <c r="V452" s="120">
        <f t="shared" ref="V452:V464" si="98">MIN(Y452/21388,1.3)</f>
        <v>1</v>
      </c>
      <c r="W452" s="122">
        <v>20000</v>
      </c>
      <c r="X452" s="120"/>
      <c r="Y452" s="120">
        <f t="shared" ref="Y452:Y464" si="99">INT(VLOOKUP(U452, $AB$30:$AH$101, 7, FALSE))</f>
        <v>21388</v>
      </c>
      <c r="Z452" s="138"/>
    </row>
    <row r="453" spans="2:26" ht="20.149999999999999" customHeight="1" x14ac:dyDescent="0.35">
      <c r="B453" s="161"/>
      <c r="C453" s="161"/>
      <c r="D453" s="161"/>
      <c r="E453" s="6" t="s">
        <v>13</v>
      </c>
      <c r="F453" s="32"/>
      <c r="G453" s="37"/>
      <c r="H453" s="61" t="str">
        <f t="shared" si="78"/>
        <v/>
      </c>
      <c r="I453" s="61" t="str">
        <f t="shared" si="79"/>
        <v/>
      </c>
      <c r="J453" s="62" t="str">
        <f t="shared" si="80"/>
        <v/>
      </c>
      <c r="K453" s="6"/>
      <c r="L453" s="45"/>
      <c r="U453" s="72" t="str" cm="1">
        <f t="array" ref="U453">IF(C453="",INDEX(C447:C453,MATCH(TRUE,INDEX((C447:C453&lt;&gt;""),0),0)),C453)</f>
        <v>Britoil Dynamic</v>
      </c>
      <c r="V453" s="120">
        <f t="shared" si="98"/>
        <v>1</v>
      </c>
      <c r="W453" s="122">
        <v>20000</v>
      </c>
      <c r="X453" s="120"/>
      <c r="Y453" s="120">
        <f t="shared" si="99"/>
        <v>21388</v>
      </c>
      <c r="Z453" s="138"/>
    </row>
    <row r="454" spans="2:26" ht="20.149999999999999" customHeight="1" x14ac:dyDescent="0.35">
      <c r="B454" s="161"/>
      <c r="C454" s="161"/>
      <c r="D454" s="161"/>
      <c r="E454" s="6" t="s">
        <v>103</v>
      </c>
      <c r="F454" s="32"/>
      <c r="G454" s="37"/>
      <c r="H454" s="61" t="str">
        <f t="shared" si="78"/>
        <v/>
      </c>
      <c r="I454" s="61" t="str">
        <f t="shared" si="79"/>
        <v/>
      </c>
      <c r="J454" s="62" t="str">
        <f t="shared" si="80"/>
        <v/>
      </c>
      <c r="K454" s="6"/>
      <c r="L454" s="45"/>
      <c r="U454" s="72" t="str" cm="1">
        <f t="array" ref="U454">IF(C454="",INDEX(C448:C454,MATCH(TRUE,INDEX((C448:C454&lt;&gt;""),0),0)),C454)</f>
        <v>Britoil Dynamic</v>
      </c>
      <c r="V454" s="120">
        <f t="shared" si="98"/>
        <v>1</v>
      </c>
      <c r="W454" s="122">
        <v>20001</v>
      </c>
      <c r="X454" s="120"/>
      <c r="Y454" s="120">
        <f t="shared" si="99"/>
        <v>21388</v>
      </c>
      <c r="Z454" s="138"/>
    </row>
    <row r="455" spans="2:26" ht="20.149999999999999" customHeight="1" x14ac:dyDescent="0.35">
      <c r="B455" s="161"/>
      <c r="C455" s="161"/>
      <c r="D455" s="161"/>
      <c r="E455" s="6" t="s">
        <v>106</v>
      </c>
      <c r="F455" s="32"/>
      <c r="G455" s="37"/>
      <c r="H455" s="61" t="str">
        <f t="shared" si="78"/>
        <v/>
      </c>
      <c r="I455" s="61" t="str">
        <f t="shared" si="79"/>
        <v/>
      </c>
      <c r="J455" s="62" t="str">
        <f t="shared" si="80"/>
        <v/>
      </c>
      <c r="K455" s="6"/>
      <c r="L455" s="45"/>
      <c r="U455" s="72" t="str" cm="1">
        <f t="array" ref="U455">IF(C455="",INDEX(C448:C455,MATCH(TRUE,INDEX((C448:C455&lt;&gt;""),0),0)),C455)</f>
        <v>Britoil Dynamic</v>
      </c>
      <c r="V455" s="120">
        <f t="shared" si="98"/>
        <v>1</v>
      </c>
      <c r="W455" s="122">
        <v>20000</v>
      </c>
      <c r="X455" s="120"/>
      <c r="Y455" s="120">
        <f t="shared" si="99"/>
        <v>21388</v>
      </c>
      <c r="Z455" s="138"/>
    </row>
    <row r="456" spans="2:26" ht="20.149999999999999" customHeight="1" x14ac:dyDescent="0.35">
      <c r="B456" s="161"/>
      <c r="C456" s="161"/>
      <c r="D456" s="161"/>
      <c r="E456" s="6" t="s">
        <v>109</v>
      </c>
      <c r="F456" s="32"/>
      <c r="G456" s="37"/>
      <c r="H456" s="61" t="str">
        <f t="shared" si="78"/>
        <v/>
      </c>
      <c r="I456" s="61" t="str">
        <f t="shared" si="79"/>
        <v/>
      </c>
      <c r="J456" s="62" t="str">
        <f t="shared" si="80"/>
        <v/>
      </c>
      <c r="K456" s="6"/>
      <c r="L456" s="45"/>
      <c r="U456" s="72" t="str" cm="1">
        <f t="array" ref="U456">IF(C456="",INDEX(C449:C456,MATCH(TRUE,INDEX((C449:C456&lt;&gt;""),0),0)),C456)</f>
        <v>Britoil Dynamic</v>
      </c>
      <c r="V456" s="120">
        <f t="shared" si="98"/>
        <v>1</v>
      </c>
      <c r="W456" s="122">
        <v>20000</v>
      </c>
      <c r="X456" s="120"/>
      <c r="Y456" s="120">
        <f t="shared" si="99"/>
        <v>21388</v>
      </c>
      <c r="Z456" s="138"/>
    </row>
    <row r="457" spans="2:26" ht="20.149999999999999" customHeight="1" x14ac:dyDescent="0.35">
      <c r="B457" s="161"/>
      <c r="C457" s="161"/>
      <c r="D457" s="161"/>
      <c r="E457" s="6" t="s">
        <v>110</v>
      </c>
      <c r="F457" s="32"/>
      <c r="G457" s="37"/>
      <c r="H457" s="61" t="str">
        <f t="shared" si="78"/>
        <v/>
      </c>
      <c r="I457" s="61" t="str">
        <f t="shared" si="79"/>
        <v/>
      </c>
      <c r="J457" s="62" t="str">
        <f t="shared" si="80"/>
        <v/>
      </c>
      <c r="K457" s="6"/>
      <c r="L457" s="45"/>
      <c r="U457" s="72" t="str" cm="1">
        <f t="array" ref="U457">IF(C457="",INDEX(C450:C457,MATCH(TRUE,INDEX((C450:C457&lt;&gt;""),0),0)),C457)</f>
        <v>Britoil Dynamic</v>
      </c>
      <c r="V457" s="120">
        <f t="shared" si="98"/>
        <v>1</v>
      </c>
      <c r="W457" s="122">
        <v>20000</v>
      </c>
      <c r="X457" s="120"/>
      <c r="Y457" s="120">
        <f t="shared" si="99"/>
        <v>21388</v>
      </c>
      <c r="Z457" s="138"/>
    </row>
    <row r="458" spans="2:26" ht="20.149999999999999" customHeight="1" x14ac:dyDescent="0.35">
      <c r="B458" s="162"/>
      <c r="C458" s="162"/>
      <c r="D458" s="162"/>
      <c r="E458" s="7" t="s">
        <v>14</v>
      </c>
      <c r="F458" s="32" t="s">
        <v>105</v>
      </c>
      <c r="G458" s="37"/>
      <c r="H458" s="61" t="str">
        <f t="shared" si="78"/>
        <v/>
      </c>
      <c r="I458" s="61" t="str">
        <f t="shared" si="79"/>
        <v/>
      </c>
      <c r="J458" s="62" t="str">
        <f t="shared" si="80"/>
        <v/>
      </c>
      <c r="K458" s="6"/>
      <c r="L458" s="46"/>
      <c r="U458" s="72" t="str" cm="1">
        <f t="array" ref="U458">IF(C458="",INDEX(C451:C458,MATCH(TRUE,INDEX((C451:C458&lt;&gt;""),0),0)),C458)</f>
        <v>Britoil Dynamic</v>
      </c>
      <c r="V458" s="120">
        <f t="shared" si="98"/>
        <v>1</v>
      </c>
      <c r="W458" s="122">
        <v>20000</v>
      </c>
      <c r="X458" s="120"/>
      <c r="Y458" s="120">
        <f t="shared" si="99"/>
        <v>21388</v>
      </c>
      <c r="Z458" s="138"/>
    </row>
    <row r="459" spans="2:26" ht="20.149999999999999" customHeight="1" x14ac:dyDescent="0.35">
      <c r="B459" s="163">
        <v>71</v>
      </c>
      <c r="C459" s="163" t="s">
        <v>302</v>
      </c>
      <c r="D459" s="163" t="s">
        <v>12</v>
      </c>
      <c r="E459" s="26" t="s">
        <v>102</v>
      </c>
      <c r="F459" s="31"/>
      <c r="G459" s="34"/>
      <c r="H459" s="55" t="str">
        <f t="shared" si="78"/>
        <v/>
      </c>
      <c r="I459" s="55" t="str">
        <f t="shared" si="79"/>
        <v/>
      </c>
      <c r="J459" s="56" t="str">
        <f t="shared" si="80"/>
        <v/>
      </c>
      <c r="K459" s="2"/>
      <c r="L459" s="41"/>
      <c r="U459" s="72" t="str" cm="1">
        <f t="array" ref="U459">IF(C459="",INDEX(C452:C459,MATCH(TRUE,INDEX((C452:C459&lt;&gt;""),0),0)),C459)</f>
        <v>Brine Eagle</v>
      </c>
      <c r="V459" s="120">
        <f t="shared" si="98"/>
        <v>1.0308584252852067</v>
      </c>
      <c r="W459" s="122">
        <v>20000</v>
      </c>
      <c r="X459" s="120"/>
      <c r="Y459" s="120">
        <f t="shared" si="99"/>
        <v>22048</v>
      </c>
      <c r="Z459" s="138"/>
    </row>
    <row r="460" spans="2:26" ht="20.149999999999999" customHeight="1" x14ac:dyDescent="0.35">
      <c r="B460" s="164"/>
      <c r="C460" s="164"/>
      <c r="D460" s="164"/>
      <c r="E460" s="3" t="s">
        <v>13</v>
      </c>
      <c r="F460" s="31"/>
      <c r="G460" s="35"/>
      <c r="H460" s="57" t="str">
        <f t="shared" si="78"/>
        <v/>
      </c>
      <c r="I460" s="57" t="str">
        <f t="shared" si="79"/>
        <v/>
      </c>
      <c r="J460" s="58" t="str">
        <f t="shared" si="80"/>
        <v/>
      </c>
      <c r="K460" s="3"/>
      <c r="L460" s="42"/>
      <c r="U460" s="72" t="str" cm="1">
        <f t="array" ref="U460">IF(C460="",INDEX(C453:C460,MATCH(TRUE,INDEX((C453:C460&lt;&gt;""),0),0)),C460)</f>
        <v>Brine Eagle</v>
      </c>
      <c r="V460" s="120">
        <f t="shared" si="98"/>
        <v>1.0308584252852067</v>
      </c>
      <c r="W460" s="122">
        <v>20000</v>
      </c>
      <c r="X460" s="120"/>
      <c r="Y460" s="120">
        <f t="shared" si="99"/>
        <v>22048</v>
      </c>
      <c r="Z460" s="138"/>
    </row>
    <row r="461" spans="2:26" ht="20.149999999999999" customHeight="1" x14ac:dyDescent="0.35">
      <c r="B461" s="164"/>
      <c r="C461" s="164"/>
      <c r="D461" s="164"/>
      <c r="E461" s="3" t="s">
        <v>109</v>
      </c>
      <c r="F461" s="31"/>
      <c r="G461" s="35"/>
      <c r="H461" s="57" t="str">
        <f t="shared" ref="H461:H471" si="100">IF(F461="Done", V461*VLOOKUP(E461, $AB$3:$AC$16, 2, FALSE), "")</f>
        <v/>
      </c>
      <c r="I461" s="57" t="str">
        <f t="shared" ref="I461:I471" si="101">IF(F461="Done", V461*VLOOKUP(E461, $AB$3:$AD$16, 3, FALSE), "")</f>
        <v/>
      </c>
      <c r="J461" s="58" t="str">
        <f t="shared" ref="J461:J471" si="102">IF(F461="Done", V461*VLOOKUP(E461, $AB$3:$AE$16, 4, FALSE), "")</f>
        <v/>
      </c>
      <c r="K461" s="3"/>
      <c r="L461" s="42"/>
      <c r="U461" s="72" t="str" cm="1">
        <f t="array" ref="U461">IF(C461="",INDEX(C455:C461,MATCH(TRUE,INDEX((C455:C461&lt;&gt;""),0),0)),C461)</f>
        <v>Brine Eagle</v>
      </c>
      <c r="V461" s="120">
        <f t="shared" si="98"/>
        <v>1.0308584252852067</v>
      </c>
      <c r="W461" s="122">
        <v>20000</v>
      </c>
      <c r="X461" s="120"/>
      <c r="Y461" s="120">
        <f t="shared" si="99"/>
        <v>22048</v>
      </c>
      <c r="Z461" s="138"/>
    </row>
    <row r="462" spans="2:26" ht="20.149999999999999" customHeight="1" x14ac:dyDescent="0.35">
      <c r="B462" s="164"/>
      <c r="C462" s="164"/>
      <c r="D462" s="164"/>
      <c r="E462" s="3" t="s">
        <v>106</v>
      </c>
      <c r="F462" s="31"/>
      <c r="G462" s="35"/>
      <c r="H462" s="57" t="str">
        <f t="shared" si="100"/>
        <v/>
      </c>
      <c r="I462" s="57" t="str">
        <f t="shared" si="101"/>
        <v/>
      </c>
      <c r="J462" s="58" t="str">
        <f t="shared" si="102"/>
        <v/>
      </c>
      <c r="K462" s="3"/>
      <c r="L462" s="42"/>
      <c r="U462" s="72" t="str" cm="1">
        <f t="array" ref="U462">IF(C462="",INDEX(C456:C462,MATCH(TRUE,INDEX((C456:C462&lt;&gt;""),0),0)),C462)</f>
        <v>Brine Eagle</v>
      </c>
      <c r="V462" s="120">
        <f t="shared" si="98"/>
        <v>1.0308584252852067</v>
      </c>
      <c r="W462" s="122">
        <v>20000</v>
      </c>
      <c r="X462" s="120"/>
      <c r="Y462" s="120">
        <f t="shared" si="99"/>
        <v>22048</v>
      </c>
      <c r="Z462" s="138"/>
    </row>
    <row r="463" spans="2:26" ht="20.149999999999999" customHeight="1" x14ac:dyDescent="0.35">
      <c r="B463" s="164"/>
      <c r="C463" s="164"/>
      <c r="D463" s="164"/>
      <c r="E463" s="3" t="s">
        <v>110</v>
      </c>
      <c r="F463" s="31"/>
      <c r="G463" s="35"/>
      <c r="H463" s="57" t="str">
        <f t="shared" si="100"/>
        <v/>
      </c>
      <c r="I463" s="57" t="str">
        <f t="shared" si="101"/>
        <v/>
      </c>
      <c r="J463" s="58" t="str">
        <f t="shared" si="102"/>
        <v/>
      </c>
      <c r="K463" s="3"/>
      <c r="L463" s="42"/>
      <c r="U463" s="72" t="str" cm="1">
        <f t="array" ref="U463">IF(C463="",INDEX(C457:C463,MATCH(TRUE,INDEX((C457:C463&lt;&gt;""),0),0)),C463)</f>
        <v>Brine Eagle</v>
      </c>
      <c r="V463" s="120">
        <f t="shared" si="98"/>
        <v>1.0308584252852067</v>
      </c>
      <c r="W463" s="122">
        <v>20000</v>
      </c>
      <c r="X463" s="120"/>
      <c r="Y463" s="120">
        <f t="shared" si="99"/>
        <v>22048</v>
      </c>
      <c r="Z463" s="138"/>
    </row>
    <row r="464" spans="2:26" ht="20.149999999999999" customHeight="1" x14ac:dyDescent="0.35">
      <c r="B464" s="165"/>
      <c r="C464" s="165"/>
      <c r="D464" s="165"/>
      <c r="E464" s="4" t="s">
        <v>14</v>
      </c>
      <c r="F464" s="31" t="s">
        <v>105</v>
      </c>
      <c r="G464" s="39"/>
      <c r="H464" s="65" t="str">
        <f t="shared" si="100"/>
        <v/>
      </c>
      <c r="I464" s="65" t="str">
        <f t="shared" si="101"/>
        <v/>
      </c>
      <c r="J464" s="66" t="str">
        <f t="shared" si="102"/>
        <v/>
      </c>
      <c r="K464" s="4"/>
      <c r="L464" s="43"/>
      <c r="U464" s="72" t="str" cm="1">
        <f t="array" ref="U464">IF(C464="",INDEX(C458:C464,MATCH(TRUE,INDEX((C458:C464&lt;&gt;""),0),0)),C464)</f>
        <v>Brine Eagle</v>
      </c>
      <c r="V464" s="120">
        <f t="shared" si="98"/>
        <v>1.0308584252852067</v>
      </c>
      <c r="W464" s="122">
        <v>20000</v>
      </c>
      <c r="X464" s="120"/>
      <c r="Y464" s="120">
        <f t="shared" si="99"/>
        <v>22048</v>
      </c>
      <c r="Z464" s="138"/>
    </row>
    <row r="465" spans="1:26" ht="20.149999999999999" customHeight="1" x14ac:dyDescent="0.35">
      <c r="B465" s="160">
        <v>72</v>
      </c>
      <c r="C465" s="160" t="s">
        <v>303</v>
      </c>
      <c r="D465" s="160" t="s">
        <v>12</v>
      </c>
      <c r="E465" s="27" t="s">
        <v>102</v>
      </c>
      <c r="F465" s="32"/>
      <c r="G465" s="37"/>
      <c r="H465" s="61" t="str">
        <f t="shared" si="100"/>
        <v/>
      </c>
      <c r="I465" s="61" t="str">
        <f t="shared" si="101"/>
        <v/>
      </c>
      <c r="J465" s="62" t="str">
        <f t="shared" si="102"/>
        <v/>
      </c>
      <c r="K465" s="6"/>
      <c r="L465" s="44"/>
      <c r="U465" s="72" t="str" cm="1">
        <f t="array" ref="U465">IF(C465="",INDEX(C459:C465,MATCH(TRUE,INDEX((C459:C465&lt;&gt;""),0),0)),C465)</f>
        <v>MWV Falgout</v>
      </c>
      <c r="V465" s="120">
        <f t="shared" ref="V465:V471" si="103">MIN(Y465/21388,1.3)</f>
        <v>0.73573966710304839</v>
      </c>
      <c r="W465" s="122">
        <v>20000</v>
      </c>
      <c r="X465" s="120"/>
      <c r="Y465" s="120">
        <f t="shared" ref="Y465:Y471" si="104">INT(VLOOKUP(U465, $AB$30:$AH$101, 7, FALSE))</f>
        <v>15736</v>
      </c>
      <c r="Z465" s="138"/>
    </row>
    <row r="466" spans="1:26" ht="20.149999999999999" customHeight="1" x14ac:dyDescent="0.35">
      <c r="B466" s="161"/>
      <c r="C466" s="161"/>
      <c r="D466" s="161"/>
      <c r="E466" s="6" t="s">
        <v>13</v>
      </c>
      <c r="F466" s="32"/>
      <c r="G466" s="37"/>
      <c r="H466" s="61" t="str">
        <f t="shared" si="100"/>
        <v/>
      </c>
      <c r="I466" s="61" t="str">
        <f t="shared" si="101"/>
        <v/>
      </c>
      <c r="J466" s="62" t="str">
        <f t="shared" si="102"/>
        <v/>
      </c>
      <c r="K466" s="6"/>
      <c r="L466" s="45"/>
      <c r="U466" s="72" t="str" cm="1">
        <f t="array" ref="U466">IF(C466="",INDEX(C460:C466,MATCH(TRUE,INDEX((C460:C466&lt;&gt;""),0),0)),C466)</f>
        <v>MWV Falgout</v>
      </c>
      <c r="V466" s="120">
        <f t="shared" si="103"/>
        <v>0.73573966710304839</v>
      </c>
      <c r="W466" s="122">
        <v>20000</v>
      </c>
      <c r="X466" s="120"/>
      <c r="Y466" s="120">
        <f t="shared" si="104"/>
        <v>15736</v>
      </c>
      <c r="Z466" s="138"/>
    </row>
    <row r="467" spans="1:26" ht="20.149999999999999" customHeight="1" x14ac:dyDescent="0.35">
      <c r="B467" s="161"/>
      <c r="C467" s="161"/>
      <c r="D467" s="161"/>
      <c r="E467" s="6" t="s">
        <v>103</v>
      </c>
      <c r="F467" s="32"/>
      <c r="G467" s="37"/>
      <c r="H467" s="61" t="str">
        <f t="shared" si="100"/>
        <v/>
      </c>
      <c r="I467" s="61" t="str">
        <f t="shared" si="101"/>
        <v/>
      </c>
      <c r="J467" s="62" t="str">
        <f t="shared" si="102"/>
        <v/>
      </c>
      <c r="K467" s="6"/>
      <c r="L467" s="45"/>
      <c r="U467" s="72" t="str" cm="1">
        <f t="array" ref="U467">IF(C467="",INDEX(C461:C467,MATCH(TRUE,INDEX((C461:C467&lt;&gt;""),0),0)),C467)</f>
        <v>MWV Falgout</v>
      </c>
      <c r="V467" s="120">
        <f t="shared" si="103"/>
        <v>0.73573966710304839</v>
      </c>
      <c r="W467" s="122">
        <v>20001</v>
      </c>
      <c r="X467" s="120"/>
      <c r="Y467" s="120">
        <f t="shared" si="104"/>
        <v>15736</v>
      </c>
      <c r="Z467" s="138"/>
    </row>
    <row r="468" spans="1:26" ht="20.149999999999999" customHeight="1" x14ac:dyDescent="0.35">
      <c r="B468" s="161"/>
      <c r="C468" s="161"/>
      <c r="D468" s="161"/>
      <c r="E468" s="6" t="s">
        <v>106</v>
      </c>
      <c r="F468" s="32"/>
      <c r="G468" s="37"/>
      <c r="H468" s="61" t="str">
        <f t="shared" si="100"/>
        <v/>
      </c>
      <c r="I468" s="61" t="str">
        <f t="shared" si="101"/>
        <v/>
      </c>
      <c r="J468" s="62" t="str">
        <f t="shared" si="102"/>
        <v/>
      </c>
      <c r="K468" s="6"/>
      <c r="L468" s="45"/>
      <c r="U468" s="72" t="str" cm="1">
        <f t="array" ref="U468">IF(C468="",INDEX(C461:C468,MATCH(TRUE,INDEX((C461:C468&lt;&gt;""),0),0)),C468)</f>
        <v>MWV Falgout</v>
      </c>
      <c r="V468" s="120">
        <f t="shared" si="103"/>
        <v>0.73573966710304839</v>
      </c>
      <c r="W468" s="122">
        <v>20000</v>
      </c>
      <c r="X468" s="120"/>
      <c r="Y468" s="120">
        <f t="shared" si="104"/>
        <v>15736</v>
      </c>
      <c r="Z468" s="138"/>
    </row>
    <row r="469" spans="1:26" ht="20.149999999999999" customHeight="1" x14ac:dyDescent="0.35">
      <c r="B469" s="161"/>
      <c r="C469" s="161"/>
      <c r="D469" s="161"/>
      <c r="E469" s="6" t="s">
        <v>109</v>
      </c>
      <c r="F469" s="32"/>
      <c r="G469" s="37"/>
      <c r="H469" s="61" t="str">
        <f t="shared" si="100"/>
        <v/>
      </c>
      <c r="I469" s="61" t="str">
        <f t="shared" si="101"/>
        <v/>
      </c>
      <c r="J469" s="62" t="str">
        <f t="shared" si="102"/>
        <v/>
      </c>
      <c r="K469" s="6"/>
      <c r="L469" s="45"/>
      <c r="U469" s="72" t="str" cm="1">
        <f t="array" ref="U469">IF(C469="",INDEX(C462:C469,MATCH(TRUE,INDEX((C462:C469&lt;&gt;""),0),0)),C469)</f>
        <v>MWV Falgout</v>
      </c>
      <c r="V469" s="120">
        <f t="shared" si="103"/>
        <v>0.73573966710304839</v>
      </c>
      <c r="W469" s="122">
        <v>20000</v>
      </c>
      <c r="X469" s="120"/>
      <c r="Y469" s="120">
        <f t="shared" si="104"/>
        <v>15736</v>
      </c>
      <c r="Z469" s="138"/>
    </row>
    <row r="470" spans="1:26" ht="20.149999999999999" customHeight="1" x14ac:dyDescent="0.35">
      <c r="B470" s="161"/>
      <c r="C470" s="161"/>
      <c r="D470" s="161"/>
      <c r="E470" s="6" t="s">
        <v>110</v>
      </c>
      <c r="F470" s="32"/>
      <c r="G470" s="37"/>
      <c r="H470" s="61" t="str">
        <f t="shared" si="100"/>
        <v/>
      </c>
      <c r="I470" s="61" t="str">
        <f t="shared" si="101"/>
        <v/>
      </c>
      <c r="J470" s="62" t="str">
        <f t="shared" si="102"/>
        <v/>
      </c>
      <c r="K470" s="6"/>
      <c r="L470" s="45"/>
      <c r="U470" s="72" t="str" cm="1">
        <f t="array" ref="U470">IF(C470="",INDEX(C463:C470,MATCH(TRUE,INDEX((C463:C470&lt;&gt;""),0),0)),C470)</f>
        <v>MWV Falgout</v>
      </c>
      <c r="V470" s="120">
        <f t="shared" si="103"/>
        <v>0.73573966710304839</v>
      </c>
      <c r="W470" s="122">
        <v>20000</v>
      </c>
      <c r="X470" s="120"/>
      <c r="Y470" s="120">
        <f t="shared" si="104"/>
        <v>15736</v>
      </c>
      <c r="Z470" s="138"/>
    </row>
    <row r="471" spans="1:26" ht="20.149999999999999" customHeight="1" x14ac:dyDescent="0.35">
      <c r="B471" s="162"/>
      <c r="C471" s="162"/>
      <c r="D471" s="162"/>
      <c r="E471" s="7" t="s">
        <v>14</v>
      </c>
      <c r="F471" s="32" t="s">
        <v>105</v>
      </c>
      <c r="G471" s="38"/>
      <c r="H471" s="63" t="str">
        <f t="shared" si="100"/>
        <v/>
      </c>
      <c r="I471" s="63" t="str">
        <f t="shared" si="101"/>
        <v/>
      </c>
      <c r="J471" s="64" t="str">
        <f t="shared" si="102"/>
        <v/>
      </c>
      <c r="K471" s="7"/>
      <c r="L471" s="46"/>
      <c r="U471" s="72" t="str" cm="1">
        <f t="array" ref="U471">IF(C471="",INDEX(C464:C471,MATCH(TRUE,INDEX((C464:C471&lt;&gt;""),0),0)),C471)</f>
        <v>MWV Falgout</v>
      </c>
      <c r="V471" s="120">
        <f t="shared" si="103"/>
        <v>0.73573966710304839</v>
      </c>
      <c r="W471" s="122">
        <v>20000</v>
      </c>
      <c r="X471" s="120"/>
      <c r="Y471" s="120">
        <f t="shared" si="104"/>
        <v>15736</v>
      </c>
      <c r="Z471" s="138"/>
    </row>
    <row r="472" spans="1:26" ht="20.149999999999999" customHeight="1" x14ac:dyDescent="0.35">
      <c r="B472" s="8"/>
      <c r="C472" s="8"/>
      <c r="D472" s="8"/>
      <c r="E472" s="8"/>
      <c r="F472" s="8"/>
      <c r="G472" s="11"/>
      <c r="H472" s="8"/>
      <c r="I472" s="8"/>
      <c r="J472" s="49"/>
      <c r="K472" s="9"/>
    </row>
    <row r="473" spans="1:26" ht="20.149999999999999" customHeight="1" x14ac:dyDescent="0.35">
      <c r="A473" s="8">
        <f>COUNTIF(A8:A451,"a")</f>
        <v>67</v>
      </c>
      <c r="B473" s="8"/>
      <c r="C473" s="8"/>
      <c r="D473" s="8"/>
      <c r="E473" s="8"/>
      <c r="F473" s="8"/>
      <c r="G473" s="11"/>
      <c r="H473" s="8"/>
      <c r="I473" s="8"/>
      <c r="J473" s="49"/>
      <c r="K473" s="9"/>
    </row>
    <row r="474" spans="1:26" ht="20.149999999999999" customHeight="1" x14ac:dyDescent="0.35">
      <c r="A474" s="106">
        <f>A473/72</f>
        <v>0.93055555555555558</v>
      </c>
      <c r="B474" s="8"/>
      <c r="C474" s="8"/>
      <c r="D474" s="8"/>
      <c r="E474" s="8"/>
      <c r="F474" s="8"/>
      <c r="G474" s="11"/>
      <c r="H474" s="8"/>
      <c r="I474" s="8"/>
      <c r="J474" s="49"/>
      <c r="K474" s="9"/>
    </row>
    <row r="475" spans="1:26" ht="20.149999999999999" customHeight="1" x14ac:dyDescent="0.35">
      <c r="A475" s="8">
        <v>464</v>
      </c>
      <c r="B475" s="8"/>
      <c r="C475" s="8"/>
      <c r="D475" s="8"/>
      <c r="E475" s="8"/>
      <c r="F475" s="8"/>
      <c r="G475" s="11"/>
      <c r="H475" s="8"/>
      <c r="I475" s="8"/>
      <c r="J475" s="49"/>
      <c r="K475" s="9"/>
    </row>
    <row r="476" spans="1:26" ht="20.149999999999999" customHeight="1" x14ac:dyDescent="0.35">
      <c r="B476" s="8"/>
      <c r="C476" s="8"/>
      <c r="D476" s="8"/>
      <c r="E476" s="8"/>
      <c r="F476" s="8"/>
      <c r="G476" s="11"/>
      <c r="H476" s="8"/>
      <c r="I476" s="8"/>
      <c r="J476" s="49"/>
      <c r="K476" s="9"/>
    </row>
    <row r="477" spans="1:26" ht="20.149999999999999" customHeight="1" x14ac:dyDescent="0.35">
      <c r="B477" s="8"/>
      <c r="C477" s="8"/>
      <c r="D477" s="8"/>
      <c r="E477" s="8"/>
      <c r="F477" s="8"/>
      <c r="G477" s="11"/>
      <c r="H477" s="8"/>
      <c r="I477" s="8"/>
      <c r="J477" s="49"/>
      <c r="K477" s="9"/>
    </row>
    <row r="478" spans="1:26" ht="20.149999999999999" customHeight="1" x14ac:dyDescent="0.35">
      <c r="B478" s="8"/>
      <c r="C478" s="8"/>
      <c r="D478" s="8"/>
      <c r="E478" s="8"/>
      <c r="F478" s="8"/>
      <c r="G478" s="11"/>
      <c r="H478" s="8"/>
      <c r="I478" s="8"/>
      <c r="J478" s="49"/>
      <c r="K478" s="9"/>
    </row>
    <row r="479" spans="1:26" ht="20.149999999999999" customHeight="1" x14ac:dyDescent="0.35">
      <c r="B479" s="8"/>
      <c r="C479" s="8"/>
      <c r="D479" s="8"/>
      <c r="E479" s="8"/>
      <c r="F479" s="8"/>
      <c r="G479" s="11"/>
      <c r="H479" s="8"/>
      <c r="I479" s="8"/>
      <c r="J479" s="49"/>
      <c r="K479" s="9"/>
    </row>
    <row r="480" spans="1:26" ht="20.149999999999999" customHeight="1" x14ac:dyDescent="0.35">
      <c r="B480" s="8"/>
      <c r="C480" s="8"/>
      <c r="D480" s="8"/>
      <c r="E480" s="8"/>
      <c r="F480" s="8"/>
      <c r="G480" s="11"/>
      <c r="H480" s="8"/>
      <c r="I480" s="8"/>
      <c r="J480" s="49"/>
      <c r="K480" s="9"/>
    </row>
    <row r="481" spans="2:11" ht="20.149999999999999" customHeight="1" x14ac:dyDescent="0.35">
      <c r="B481" s="8"/>
      <c r="C481" s="8"/>
      <c r="D481" s="8"/>
      <c r="E481" s="8"/>
      <c r="F481" s="8"/>
      <c r="G481" s="11"/>
      <c r="H481" s="8"/>
      <c r="I481" s="8"/>
      <c r="J481" s="49"/>
      <c r="K481" s="9"/>
    </row>
    <row r="482" spans="2:11" ht="20.149999999999999" customHeight="1" x14ac:dyDescent="0.35">
      <c r="B482" s="8"/>
      <c r="C482" s="8"/>
      <c r="D482" s="8"/>
      <c r="E482" s="8"/>
      <c r="F482" s="8"/>
      <c r="G482" s="11"/>
      <c r="H482" s="8"/>
      <c r="I482" s="8"/>
      <c r="J482" s="49"/>
      <c r="K482" s="9"/>
    </row>
    <row r="483" spans="2:11" ht="20.149999999999999" customHeight="1" x14ac:dyDescent="0.35">
      <c r="B483" s="8"/>
      <c r="C483" s="8"/>
      <c r="D483" s="8"/>
      <c r="E483" s="8"/>
      <c r="F483" s="8"/>
      <c r="G483" s="11"/>
      <c r="H483" s="8"/>
      <c r="I483" s="8"/>
      <c r="J483" s="49"/>
      <c r="K483" s="9"/>
    </row>
    <row r="484" spans="2:11" ht="20.149999999999999" customHeight="1" x14ac:dyDescent="0.35">
      <c r="B484" s="8"/>
      <c r="C484" s="8"/>
      <c r="D484" s="8"/>
      <c r="E484" s="8"/>
      <c r="F484" s="8"/>
      <c r="G484" s="11"/>
      <c r="H484" s="8"/>
      <c r="I484" s="8"/>
      <c r="J484" s="49"/>
      <c r="K484" s="9"/>
    </row>
    <row r="485" spans="2:11" ht="20.149999999999999" customHeight="1" x14ac:dyDescent="0.35">
      <c r="B485" s="8"/>
      <c r="C485" s="8"/>
      <c r="D485" s="8"/>
      <c r="E485" s="8"/>
      <c r="F485" s="8"/>
      <c r="G485" s="11"/>
      <c r="H485" s="8"/>
      <c r="I485" s="8"/>
      <c r="J485" s="49"/>
      <c r="K485" s="9"/>
    </row>
    <row r="486" spans="2:11" ht="20.149999999999999" customHeight="1" x14ac:dyDescent="0.35">
      <c r="B486" s="8"/>
      <c r="C486" s="8"/>
      <c r="D486" s="8"/>
      <c r="E486" s="8"/>
      <c r="F486" s="8"/>
      <c r="G486" s="11"/>
      <c r="H486" s="8"/>
      <c r="I486" s="8"/>
      <c r="J486" s="49"/>
      <c r="K486" s="9"/>
    </row>
    <row r="487" spans="2:11" ht="20.149999999999999" customHeight="1" x14ac:dyDescent="0.35">
      <c r="B487" s="8"/>
      <c r="C487" s="8"/>
      <c r="D487" s="8"/>
      <c r="E487" s="8"/>
      <c r="F487" s="8"/>
      <c r="G487" s="11"/>
      <c r="H487" s="8"/>
      <c r="I487" s="8"/>
      <c r="J487" s="49"/>
      <c r="K487" s="9"/>
    </row>
    <row r="488" spans="2:11" ht="20.149999999999999" customHeight="1" x14ac:dyDescent="0.35">
      <c r="B488" s="8"/>
      <c r="C488" s="8"/>
      <c r="D488" s="8"/>
      <c r="E488" s="8"/>
      <c r="F488" s="8"/>
      <c r="G488" s="11"/>
      <c r="H488" s="8"/>
      <c r="I488" s="8"/>
      <c r="J488" s="49"/>
      <c r="K488" s="9"/>
    </row>
    <row r="489" spans="2:11" ht="20.149999999999999" customHeight="1" x14ac:dyDescent="0.35">
      <c r="B489" s="8"/>
      <c r="C489" s="8"/>
      <c r="D489" s="8"/>
      <c r="E489" s="8"/>
      <c r="F489" s="8"/>
      <c r="G489" s="11"/>
      <c r="H489" s="8"/>
      <c r="I489" s="8"/>
      <c r="J489" s="49"/>
      <c r="K489" s="9"/>
    </row>
    <row r="490" spans="2:11" ht="20.149999999999999" customHeight="1" x14ac:dyDescent="0.35">
      <c r="B490" s="8"/>
      <c r="C490" s="8"/>
      <c r="D490" s="8"/>
      <c r="E490" s="8"/>
      <c r="F490" s="8"/>
      <c r="G490" s="11"/>
      <c r="H490" s="8"/>
      <c r="I490" s="8"/>
      <c r="J490" s="49"/>
      <c r="K490" s="9"/>
    </row>
    <row r="491" spans="2:11" ht="20.149999999999999" customHeight="1" x14ac:dyDescent="0.35">
      <c r="B491" s="8"/>
      <c r="C491" s="8"/>
      <c r="D491" s="8"/>
      <c r="E491" s="8"/>
      <c r="F491" s="8"/>
      <c r="G491" s="11"/>
      <c r="H491" s="8"/>
      <c r="I491" s="8"/>
      <c r="J491" s="49"/>
      <c r="K491" s="9"/>
    </row>
    <row r="492" spans="2:11" ht="20.149999999999999" customHeight="1" x14ac:dyDescent="0.35">
      <c r="B492" s="8"/>
      <c r="C492" s="8"/>
      <c r="D492" s="8"/>
      <c r="E492" s="8"/>
      <c r="F492" s="8"/>
      <c r="G492" s="11"/>
      <c r="H492" s="8"/>
      <c r="I492" s="8"/>
      <c r="J492" s="49"/>
      <c r="K492" s="9"/>
    </row>
    <row r="493" spans="2:11" ht="20.149999999999999" customHeight="1" x14ac:dyDescent="0.35">
      <c r="B493" s="8"/>
      <c r="C493" s="8"/>
      <c r="D493" s="8"/>
      <c r="E493" s="8"/>
      <c r="F493" s="8"/>
      <c r="G493" s="11"/>
      <c r="H493" s="8"/>
      <c r="I493" s="8"/>
      <c r="J493" s="49"/>
      <c r="K493" s="9"/>
    </row>
    <row r="494" spans="2:11" ht="20.149999999999999" customHeight="1" x14ac:dyDescent="0.35">
      <c r="B494" s="8"/>
      <c r="C494" s="8"/>
      <c r="D494" s="8"/>
      <c r="E494" s="8"/>
      <c r="F494" s="8"/>
      <c r="G494" s="11"/>
      <c r="H494" s="8"/>
      <c r="I494" s="8"/>
      <c r="J494" s="49"/>
      <c r="K494" s="9"/>
    </row>
    <row r="495" spans="2:11" ht="20.149999999999999" customHeight="1" x14ac:dyDescent="0.35">
      <c r="B495" s="8"/>
      <c r="C495" s="8"/>
      <c r="D495" s="8"/>
      <c r="E495" s="8"/>
      <c r="F495" s="8"/>
      <c r="G495" s="11"/>
      <c r="H495" s="8"/>
      <c r="I495" s="8"/>
      <c r="J495" s="49"/>
      <c r="K495" s="9"/>
    </row>
    <row r="496" spans="2:11" ht="20.149999999999999" customHeight="1" x14ac:dyDescent="0.35">
      <c r="B496" s="8"/>
      <c r="C496" s="8"/>
      <c r="D496" s="8"/>
      <c r="E496" s="8"/>
      <c r="F496" s="8"/>
      <c r="G496" s="11"/>
      <c r="H496" s="8"/>
      <c r="I496" s="8"/>
      <c r="J496" s="49"/>
      <c r="K496" s="9"/>
    </row>
    <row r="497" spans="2:11" ht="20.149999999999999" customHeight="1" x14ac:dyDescent="0.35">
      <c r="B497" s="8"/>
      <c r="C497" s="8"/>
      <c r="D497" s="8"/>
      <c r="E497" s="8"/>
      <c r="F497" s="8"/>
      <c r="G497" s="11"/>
      <c r="H497" s="8"/>
      <c r="I497" s="8"/>
      <c r="J497" s="49"/>
      <c r="K497" s="9"/>
    </row>
    <row r="498" spans="2:11" ht="20.149999999999999" customHeight="1" x14ac:dyDescent="0.35">
      <c r="B498" s="8"/>
      <c r="C498" s="8"/>
      <c r="D498" s="8"/>
      <c r="E498" s="8"/>
      <c r="F498" s="8"/>
      <c r="G498" s="11"/>
      <c r="H498" s="8"/>
      <c r="I498" s="8"/>
      <c r="J498" s="49"/>
      <c r="K498" s="9"/>
    </row>
    <row r="499" spans="2:11" ht="20.149999999999999" customHeight="1" x14ac:dyDescent="0.35">
      <c r="B499" s="8"/>
      <c r="C499" s="8"/>
      <c r="D499" s="8"/>
      <c r="E499" s="8"/>
      <c r="F499" s="8"/>
      <c r="G499" s="11"/>
      <c r="H499" s="8"/>
      <c r="I499" s="8"/>
      <c r="J499" s="49"/>
      <c r="K499" s="9"/>
    </row>
    <row r="500" spans="2:11" ht="20.149999999999999" customHeight="1" x14ac:dyDescent="0.35">
      <c r="B500" s="8"/>
      <c r="C500" s="8"/>
      <c r="D500" s="8"/>
      <c r="E500" s="8"/>
      <c r="F500" s="8"/>
      <c r="G500" s="11"/>
      <c r="H500" s="8"/>
      <c r="I500" s="8"/>
      <c r="J500" s="49"/>
      <c r="K500" s="9"/>
    </row>
    <row r="501" spans="2:11" ht="20.149999999999999" customHeight="1" x14ac:dyDescent="0.35">
      <c r="B501" s="8"/>
      <c r="C501" s="8"/>
      <c r="D501" s="8"/>
      <c r="E501" s="8"/>
      <c r="F501" s="8"/>
      <c r="G501" s="11"/>
      <c r="H501" s="8"/>
      <c r="I501" s="8"/>
      <c r="J501" s="49"/>
      <c r="K501" s="9"/>
    </row>
    <row r="502" spans="2:11" ht="20.149999999999999" customHeight="1" x14ac:dyDescent="0.35">
      <c r="B502" s="8"/>
      <c r="C502" s="8"/>
      <c r="D502" s="8"/>
      <c r="E502" s="8"/>
      <c r="F502" s="8"/>
      <c r="G502" s="11"/>
      <c r="H502" s="8"/>
      <c r="I502" s="8"/>
      <c r="J502" s="49"/>
      <c r="K502" s="9"/>
    </row>
    <row r="503" spans="2:11" ht="20.149999999999999" customHeight="1" x14ac:dyDescent="0.35">
      <c r="B503" s="8"/>
      <c r="C503" s="8"/>
      <c r="D503" s="8"/>
      <c r="E503" s="8"/>
      <c r="F503" s="8"/>
      <c r="G503" s="11"/>
      <c r="H503" s="8"/>
      <c r="I503" s="8"/>
      <c r="J503" s="49"/>
      <c r="K503" s="9"/>
    </row>
    <row r="504" spans="2:11" ht="20.149999999999999" customHeight="1" x14ac:dyDescent="0.35">
      <c r="B504" s="8"/>
      <c r="C504" s="8"/>
      <c r="D504" s="8"/>
      <c r="E504" s="8"/>
      <c r="F504" s="8"/>
      <c r="G504" s="11"/>
      <c r="H504" s="8"/>
      <c r="I504" s="8"/>
      <c r="J504" s="49"/>
      <c r="K504" s="9"/>
    </row>
    <row r="505" spans="2:11" ht="20.149999999999999" customHeight="1" x14ac:dyDescent="0.35">
      <c r="B505" s="8"/>
      <c r="C505" s="8"/>
      <c r="D505" s="8"/>
      <c r="E505" s="8"/>
      <c r="F505" s="8"/>
      <c r="G505" s="11"/>
      <c r="H505" s="8"/>
      <c r="I505" s="8"/>
      <c r="J505" s="49"/>
      <c r="K505" s="9"/>
    </row>
    <row r="506" spans="2:11" ht="20.149999999999999" customHeight="1" x14ac:dyDescent="0.35">
      <c r="B506" s="8"/>
      <c r="C506" s="8"/>
      <c r="D506" s="8"/>
      <c r="E506" s="8"/>
      <c r="F506" s="8"/>
      <c r="G506" s="11"/>
      <c r="H506" s="8"/>
      <c r="I506" s="8"/>
      <c r="J506" s="49"/>
      <c r="K506" s="9"/>
    </row>
    <row r="507" spans="2:11" ht="20.149999999999999" customHeight="1" x14ac:dyDescent="0.35">
      <c r="B507" s="8"/>
      <c r="C507" s="8"/>
      <c r="D507" s="8"/>
      <c r="E507" s="8"/>
      <c r="F507" s="8"/>
      <c r="G507" s="11"/>
      <c r="H507" s="8"/>
      <c r="I507" s="8"/>
      <c r="J507" s="49"/>
      <c r="K507" s="9"/>
    </row>
    <row r="508" spans="2:11" ht="20.149999999999999" customHeight="1" x14ac:dyDescent="0.35">
      <c r="B508" s="8"/>
      <c r="C508" s="8"/>
      <c r="D508" s="8"/>
      <c r="E508" s="8"/>
      <c r="F508" s="8"/>
      <c r="G508" s="11"/>
      <c r="H508" s="8"/>
      <c r="I508" s="8"/>
      <c r="J508" s="49"/>
      <c r="K508" s="9"/>
    </row>
    <row r="509" spans="2:11" ht="20.149999999999999" customHeight="1" x14ac:dyDescent="0.35">
      <c r="B509" s="8"/>
      <c r="C509" s="8"/>
      <c r="D509" s="8"/>
      <c r="E509" s="8"/>
      <c r="F509" s="8"/>
      <c r="G509" s="11"/>
      <c r="H509" s="8"/>
      <c r="I509" s="8"/>
      <c r="J509" s="49"/>
      <c r="K509" s="9"/>
    </row>
    <row r="510" spans="2:11" ht="20.149999999999999" customHeight="1" x14ac:dyDescent="0.35">
      <c r="B510" s="8"/>
      <c r="C510" s="8"/>
      <c r="D510" s="8"/>
      <c r="E510" s="8"/>
      <c r="F510" s="8"/>
      <c r="G510" s="11"/>
      <c r="H510" s="8"/>
      <c r="I510" s="8"/>
      <c r="J510" s="49"/>
      <c r="K510" s="9"/>
    </row>
    <row r="511" spans="2:11" ht="20.149999999999999" customHeight="1" x14ac:dyDescent="0.35">
      <c r="B511" s="8"/>
      <c r="C511" s="8"/>
      <c r="D511" s="8"/>
      <c r="E511" s="8"/>
      <c r="F511" s="8"/>
      <c r="G511" s="11"/>
      <c r="H511" s="8"/>
      <c r="I511" s="8"/>
      <c r="J511" s="49"/>
      <c r="K511" s="9"/>
    </row>
    <row r="512" spans="2:11" ht="20.149999999999999" customHeight="1" x14ac:dyDescent="0.35">
      <c r="B512" s="8"/>
      <c r="C512" s="8"/>
      <c r="D512" s="8"/>
      <c r="E512" s="8"/>
      <c r="F512" s="8"/>
      <c r="G512" s="11"/>
      <c r="H512" s="8"/>
      <c r="I512" s="8"/>
      <c r="J512" s="49"/>
      <c r="K512" s="9"/>
    </row>
    <row r="513" spans="2:11" ht="20.149999999999999" customHeight="1" x14ac:dyDescent="0.35">
      <c r="B513" s="8"/>
      <c r="C513" s="8"/>
      <c r="D513" s="8"/>
      <c r="E513" s="8"/>
      <c r="F513" s="8"/>
      <c r="G513" s="11"/>
      <c r="H513" s="8"/>
      <c r="I513" s="8"/>
      <c r="J513" s="49"/>
      <c r="K513" s="9"/>
    </row>
    <row r="514" spans="2:11" ht="20.149999999999999" customHeight="1" x14ac:dyDescent="0.35">
      <c r="B514" s="8"/>
      <c r="C514" s="8"/>
      <c r="D514" s="8"/>
      <c r="E514" s="8"/>
      <c r="F514" s="8"/>
      <c r="G514" s="11"/>
      <c r="H514" s="8"/>
      <c r="I514" s="8"/>
      <c r="J514" s="49"/>
      <c r="K514" s="9"/>
    </row>
    <row r="515" spans="2:11" ht="20.149999999999999" customHeight="1" x14ac:dyDescent="0.35">
      <c r="B515" s="8"/>
      <c r="C515" s="8"/>
      <c r="D515" s="8"/>
      <c r="E515" s="8"/>
      <c r="F515" s="8"/>
      <c r="G515" s="11"/>
      <c r="H515" s="8"/>
      <c r="I515" s="8"/>
      <c r="J515" s="49"/>
      <c r="K515" s="9"/>
    </row>
    <row r="516" spans="2:11" ht="20.149999999999999" customHeight="1" x14ac:dyDescent="0.35">
      <c r="B516" s="8"/>
      <c r="C516" s="8"/>
      <c r="D516" s="8"/>
      <c r="E516" s="8"/>
      <c r="F516" s="8"/>
      <c r="G516" s="11"/>
      <c r="H516" s="8"/>
      <c r="I516" s="8"/>
      <c r="J516" s="49"/>
      <c r="K516" s="9"/>
    </row>
    <row r="517" spans="2:11" ht="20.149999999999999" customHeight="1" x14ac:dyDescent="0.35">
      <c r="B517" s="8"/>
      <c r="C517" s="8"/>
      <c r="D517" s="8"/>
      <c r="E517" s="8"/>
      <c r="F517" s="8"/>
      <c r="G517" s="11"/>
      <c r="H517" s="8"/>
      <c r="I517" s="8"/>
      <c r="J517" s="49"/>
      <c r="K517" s="9"/>
    </row>
    <row r="518" spans="2:11" ht="20.149999999999999" customHeight="1" x14ac:dyDescent="0.35">
      <c r="B518" s="8"/>
      <c r="C518" s="8"/>
      <c r="D518" s="8"/>
      <c r="E518" s="8"/>
      <c r="F518" s="8"/>
      <c r="G518" s="11"/>
      <c r="H518" s="8"/>
      <c r="I518" s="8"/>
      <c r="J518" s="49"/>
      <c r="K518" s="9"/>
    </row>
    <row r="519" spans="2:11" ht="20.149999999999999" customHeight="1" x14ac:dyDescent="0.35">
      <c r="B519" s="8"/>
      <c r="C519" s="8"/>
      <c r="D519" s="8"/>
      <c r="E519" s="8"/>
      <c r="F519" s="8"/>
      <c r="G519" s="11"/>
      <c r="H519" s="8"/>
      <c r="I519" s="8"/>
      <c r="J519" s="49"/>
      <c r="K519" s="9"/>
    </row>
    <row r="520" spans="2:11" ht="20.149999999999999" customHeight="1" x14ac:dyDescent="0.35">
      <c r="B520" s="8"/>
      <c r="C520" s="8"/>
      <c r="D520" s="8"/>
      <c r="E520" s="8"/>
      <c r="F520" s="8"/>
      <c r="G520" s="11"/>
      <c r="H520" s="8"/>
      <c r="I520" s="8"/>
      <c r="J520" s="49"/>
      <c r="K520" s="9"/>
    </row>
    <row r="521" spans="2:11" ht="20.149999999999999" customHeight="1" x14ac:dyDescent="0.35">
      <c r="B521" s="8"/>
      <c r="C521" s="8"/>
      <c r="D521" s="8"/>
      <c r="E521" s="8"/>
      <c r="F521" s="8"/>
      <c r="G521" s="11"/>
      <c r="H521" s="8"/>
      <c r="I521" s="8"/>
      <c r="J521" s="49"/>
      <c r="K521" s="9"/>
    </row>
    <row r="522" spans="2:11" ht="20.149999999999999" customHeight="1" x14ac:dyDescent="0.35">
      <c r="B522" s="8"/>
      <c r="C522" s="8"/>
      <c r="D522" s="8"/>
      <c r="E522" s="8"/>
      <c r="F522" s="8"/>
      <c r="G522" s="11"/>
      <c r="H522" s="8"/>
      <c r="I522" s="8"/>
      <c r="J522" s="49"/>
      <c r="K522" s="9"/>
    </row>
    <row r="523" spans="2:11" ht="20.149999999999999" customHeight="1" x14ac:dyDescent="0.35">
      <c r="B523" s="8"/>
      <c r="C523" s="8"/>
      <c r="D523" s="8"/>
      <c r="E523" s="8"/>
      <c r="F523" s="8"/>
      <c r="G523" s="11"/>
      <c r="H523" s="8"/>
      <c r="I523" s="8"/>
      <c r="J523" s="49"/>
      <c r="K523" s="9"/>
    </row>
    <row r="524" spans="2:11" ht="20.149999999999999" customHeight="1" x14ac:dyDescent="0.35">
      <c r="B524" s="8"/>
      <c r="C524" s="8"/>
      <c r="D524" s="8"/>
      <c r="E524" s="8"/>
      <c r="F524" s="8"/>
      <c r="G524" s="11"/>
      <c r="H524" s="8"/>
      <c r="I524" s="8"/>
      <c r="J524" s="49"/>
      <c r="K524" s="9"/>
    </row>
    <row r="525" spans="2:11" ht="20.149999999999999" customHeight="1" x14ac:dyDescent="0.35">
      <c r="B525" s="8"/>
      <c r="C525" s="8"/>
      <c r="D525" s="8"/>
      <c r="E525" s="8"/>
      <c r="F525" s="8"/>
      <c r="G525" s="11"/>
      <c r="H525" s="8"/>
      <c r="I525" s="8"/>
      <c r="J525" s="49"/>
      <c r="K525" s="9"/>
    </row>
    <row r="526" spans="2:11" ht="20.149999999999999" customHeight="1" x14ac:dyDescent="0.35">
      <c r="B526" s="8"/>
      <c r="C526" s="8"/>
      <c r="D526" s="8"/>
      <c r="E526" s="8"/>
      <c r="F526" s="8"/>
      <c r="G526" s="11"/>
      <c r="H526" s="8"/>
      <c r="I526" s="8"/>
      <c r="J526" s="49"/>
      <c r="K526" s="9"/>
    </row>
    <row r="527" spans="2:11" ht="20.149999999999999" customHeight="1" x14ac:dyDescent="0.35">
      <c r="B527" s="8"/>
      <c r="C527" s="8"/>
      <c r="D527" s="8"/>
      <c r="E527" s="8"/>
      <c r="F527" s="8"/>
      <c r="G527" s="11"/>
      <c r="H527" s="8"/>
      <c r="I527" s="8"/>
      <c r="J527" s="49"/>
      <c r="K527" s="9"/>
    </row>
    <row r="528" spans="2:11" ht="20.149999999999999" customHeight="1" x14ac:dyDescent="0.35">
      <c r="B528" s="8"/>
      <c r="C528" s="8"/>
      <c r="D528" s="8"/>
      <c r="E528" s="8"/>
      <c r="F528" s="8"/>
      <c r="G528" s="11"/>
      <c r="H528" s="8"/>
      <c r="I528" s="8"/>
      <c r="J528" s="49"/>
      <c r="K528" s="9"/>
    </row>
    <row r="529" spans="2:11" ht="20.149999999999999" customHeight="1" x14ac:dyDescent="0.35">
      <c r="B529" s="8"/>
      <c r="C529" s="8"/>
      <c r="D529" s="8"/>
      <c r="E529" s="8"/>
      <c r="F529" s="8"/>
      <c r="G529" s="11"/>
      <c r="H529" s="8"/>
      <c r="I529" s="8"/>
      <c r="J529" s="49"/>
      <c r="K529" s="9"/>
    </row>
    <row r="530" spans="2:11" ht="20.149999999999999" customHeight="1" x14ac:dyDescent="0.35">
      <c r="B530" s="8"/>
      <c r="C530" s="8"/>
      <c r="D530" s="8"/>
      <c r="E530" s="8"/>
      <c r="F530" s="8"/>
      <c r="G530" s="11"/>
      <c r="H530" s="8"/>
      <c r="I530" s="8"/>
      <c r="J530" s="49"/>
      <c r="K530" s="9"/>
    </row>
    <row r="531" spans="2:11" ht="20.149999999999999" customHeight="1" x14ac:dyDescent="0.35">
      <c r="B531" s="8"/>
      <c r="C531" s="8"/>
      <c r="D531" s="8"/>
      <c r="E531" s="8"/>
      <c r="F531" s="8"/>
      <c r="G531" s="11"/>
      <c r="H531" s="8"/>
      <c r="I531" s="8"/>
      <c r="J531" s="49"/>
      <c r="K531" s="9"/>
    </row>
    <row r="532" spans="2:11" ht="20.149999999999999" customHeight="1" x14ac:dyDescent="0.35">
      <c r="B532" s="8"/>
      <c r="C532" s="8"/>
      <c r="D532" s="8"/>
      <c r="E532" s="8"/>
      <c r="F532" s="8"/>
      <c r="G532" s="11"/>
      <c r="H532" s="8"/>
      <c r="I532" s="8"/>
      <c r="J532" s="49"/>
      <c r="K532" s="9"/>
    </row>
    <row r="533" spans="2:11" ht="20.149999999999999" customHeight="1" x14ac:dyDescent="0.35">
      <c r="B533" s="8"/>
      <c r="C533" s="8"/>
      <c r="D533" s="8"/>
      <c r="E533" s="8"/>
      <c r="F533" s="8"/>
      <c r="G533" s="11"/>
      <c r="H533" s="8"/>
      <c r="I533" s="8"/>
      <c r="J533" s="49"/>
      <c r="K533" s="9"/>
    </row>
    <row r="534" spans="2:11" ht="20.149999999999999" customHeight="1" x14ac:dyDescent="0.35">
      <c r="B534" s="8"/>
      <c r="C534" s="8"/>
      <c r="D534" s="8"/>
      <c r="E534" s="8"/>
      <c r="F534" s="8"/>
      <c r="G534" s="11"/>
      <c r="H534" s="8"/>
      <c r="I534" s="8"/>
      <c r="J534" s="49"/>
      <c r="K534" s="9"/>
    </row>
    <row r="535" spans="2:11" ht="20.149999999999999" customHeight="1" x14ac:dyDescent="0.35">
      <c r="B535" s="8"/>
      <c r="C535" s="8"/>
      <c r="D535" s="8"/>
      <c r="E535" s="8"/>
      <c r="F535" s="8"/>
      <c r="G535" s="11"/>
      <c r="H535" s="8"/>
      <c r="I535" s="8"/>
      <c r="J535" s="49"/>
      <c r="K535" s="9"/>
    </row>
    <row r="536" spans="2:11" ht="20.149999999999999" customHeight="1" x14ac:dyDescent="0.35">
      <c r="B536" s="8"/>
      <c r="C536" s="8"/>
      <c r="D536" s="8"/>
      <c r="E536" s="8"/>
      <c r="F536" s="8"/>
      <c r="G536" s="11"/>
      <c r="H536" s="8"/>
      <c r="I536" s="8"/>
      <c r="J536" s="49"/>
      <c r="K536" s="9"/>
    </row>
    <row r="537" spans="2:11" ht="20.149999999999999" customHeight="1" x14ac:dyDescent="0.35">
      <c r="B537" s="8"/>
      <c r="C537" s="8"/>
      <c r="D537" s="8"/>
      <c r="E537" s="8"/>
      <c r="F537" s="8"/>
      <c r="G537" s="11"/>
      <c r="H537" s="8"/>
      <c r="I537" s="8"/>
      <c r="J537" s="49"/>
      <c r="K537" s="9"/>
    </row>
    <row r="538" spans="2:11" ht="20.149999999999999" customHeight="1" x14ac:dyDescent="0.35">
      <c r="B538" s="8"/>
      <c r="C538" s="8"/>
      <c r="D538" s="8"/>
      <c r="E538" s="8"/>
      <c r="F538" s="8"/>
      <c r="G538" s="11"/>
      <c r="H538" s="8"/>
      <c r="I538" s="8"/>
      <c r="J538" s="49"/>
      <c r="K538" s="9"/>
    </row>
    <row r="539" spans="2:11" ht="20.149999999999999" customHeight="1" x14ac:dyDescent="0.35">
      <c r="B539" s="8"/>
      <c r="C539" s="8"/>
      <c r="D539" s="8"/>
      <c r="E539" s="8"/>
      <c r="F539" s="8"/>
      <c r="G539" s="11"/>
      <c r="H539" s="8"/>
      <c r="I539" s="8"/>
      <c r="J539" s="49"/>
      <c r="K539" s="9"/>
    </row>
    <row r="540" spans="2:11" ht="20.149999999999999" customHeight="1" x14ac:dyDescent="0.35">
      <c r="B540" s="8"/>
      <c r="C540" s="8"/>
      <c r="D540" s="8"/>
      <c r="E540" s="8"/>
      <c r="F540" s="8"/>
      <c r="G540" s="11"/>
      <c r="H540" s="8"/>
      <c r="I540" s="8"/>
      <c r="J540" s="49"/>
      <c r="K540" s="9"/>
    </row>
    <row r="541" spans="2:11" ht="20.149999999999999" customHeight="1" x14ac:dyDescent="0.35">
      <c r="B541" s="8"/>
      <c r="C541" s="8"/>
      <c r="D541" s="8"/>
      <c r="E541" s="8"/>
      <c r="F541" s="8"/>
      <c r="G541" s="11"/>
      <c r="H541" s="8"/>
      <c r="I541" s="8"/>
      <c r="J541" s="49"/>
      <c r="K541" s="9"/>
    </row>
    <row r="542" spans="2:11" ht="20.149999999999999" customHeight="1" x14ac:dyDescent="0.35">
      <c r="B542" s="8"/>
      <c r="C542" s="8"/>
      <c r="D542" s="8"/>
      <c r="E542" s="8"/>
      <c r="F542" s="8"/>
      <c r="G542" s="11"/>
      <c r="H542" s="8"/>
      <c r="I542" s="8"/>
      <c r="J542" s="49"/>
      <c r="K542" s="9"/>
    </row>
    <row r="543" spans="2:11" ht="20.149999999999999" customHeight="1" x14ac:dyDescent="0.35">
      <c r="B543" s="8"/>
      <c r="C543" s="8"/>
      <c r="D543" s="8"/>
      <c r="E543" s="8"/>
      <c r="F543" s="8"/>
      <c r="G543" s="11"/>
      <c r="H543" s="8"/>
      <c r="I543" s="8"/>
      <c r="J543" s="49"/>
      <c r="K543" s="9"/>
    </row>
    <row r="544" spans="2:11" ht="20.149999999999999" customHeight="1" x14ac:dyDescent="0.35">
      <c r="B544" s="8"/>
      <c r="C544" s="8"/>
      <c r="D544" s="8"/>
      <c r="E544" s="8"/>
      <c r="F544" s="8"/>
      <c r="G544" s="11"/>
      <c r="H544" s="8"/>
      <c r="I544" s="8"/>
      <c r="J544" s="49"/>
      <c r="K544" s="9"/>
    </row>
    <row r="545" spans="2:11" ht="20.149999999999999" customHeight="1" x14ac:dyDescent="0.35">
      <c r="B545" s="8"/>
      <c r="C545" s="8"/>
      <c r="D545" s="8"/>
      <c r="E545" s="8"/>
      <c r="F545" s="8"/>
      <c r="G545" s="11"/>
      <c r="H545" s="8"/>
      <c r="I545" s="8"/>
      <c r="J545" s="49"/>
      <c r="K545" s="9"/>
    </row>
    <row r="546" spans="2:11" ht="20.149999999999999" customHeight="1" x14ac:dyDescent="0.35">
      <c r="B546" s="8"/>
      <c r="C546" s="8"/>
      <c r="D546" s="8"/>
      <c r="E546" s="8"/>
      <c r="F546" s="8"/>
      <c r="G546" s="11"/>
      <c r="H546" s="8"/>
      <c r="I546" s="8"/>
      <c r="J546" s="49"/>
      <c r="K546" s="9"/>
    </row>
    <row r="547" spans="2:11" ht="20.149999999999999" customHeight="1" x14ac:dyDescent="0.35">
      <c r="B547" s="8"/>
      <c r="C547" s="8"/>
      <c r="D547" s="8"/>
      <c r="E547" s="8"/>
      <c r="F547" s="8"/>
      <c r="G547" s="11"/>
      <c r="H547" s="8"/>
      <c r="I547" s="8"/>
      <c r="J547" s="49"/>
      <c r="K547" s="9"/>
    </row>
    <row r="548" spans="2:11" ht="20.149999999999999" customHeight="1" x14ac:dyDescent="0.35">
      <c r="B548" s="8"/>
      <c r="C548" s="8"/>
      <c r="D548" s="8"/>
      <c r="E548" s="8"/>
      <c r="F548" s="8"/>
      <c r="G548" s="11"/>
      <c r="H548" s="8"/>
      <c r="I548" s="8"/>
      <c r="J548" s="49"/>
      <c r="K548" s="9"/>
    </row>
    <row r="549" spans="2:11" ht="20.149999999999999" customHeight="1" x14ac:dyDescent="0.35">
      <c r="B549" s="8"/>
      <c r="C549" s="8"/>
      <c r="D549" s="8"/>
      <c r="E549" s="8"/>
      <c r="F549" s="8"/>
      <c r="G549" s="11"/>
      <c r="H549" s="8"/>
      <c r="I549" s="8"/>
      <c r="J549" s="49"/>
      <c r="K549" s="9"/>
    </row>
    <row r="550" spans="2:11" ht="20.149999999999999" customHeight="1" x14ac:dyDescent="0.35">
      <c r="B550" s="8"/>
      <c r="C550" s="8"/>
      <c r="D550" s="8"/>
      <c r="E550" s="8"/>
      <c r="F550" s="8"/>
      <c r="G550" s="11"/>
      <c r="H550" s="8"/>
      <c r="I550" s="8"/>
      <c r="J550" s="49"/>
      <c r="K550" s="9"/>
    </row>
    <row r="551" spans="2:11" ht="20.149999999999999" customHeight="1" x14ac:dyDescent="0.35">
      <c r="B551" s="8"/>
      <c r="C551" s="8"/>
      <c r="D551" s="8"/>
      <c r="E551" s="8"/>
      <c r="F551" s="8"/>
      <c r="G551" s="11"/>
      <c r="H551" s="8"/>
      <c r="I551" s="8"/>
      <c r="J551" s="49"/>
      <c r="K551" s="9"/>
    </row>
    <row r="552" spans="2:11" ht="20.149999999999999" customHeight="1" x14ac:dyDescent="0.35">
      <c r="B552" s="8"/>
      <c r="C552" s="8"/>
      <c r="D552" s="8"/>
      <c r="E552" s="8"/>
      <c r="F552" s="8"/>
      <c r="G552" s="11"/>
      <c r="H552" s="8"/>
      <c r="I552" s="8"/>
      <c r="J552" s="49"/>
      <c r="K552" s="9"/>
    </row>
    <row r="553" spans="2:11" ht="20.149999999999999" customHeight="1" x14ac:dyDescent="0.35">
      <c r="B553" s="8"/>
      <c r="C553" s="8"/>
      <c r="D553" s="8"/>
      <c r="E553" s="8"/>
      <c r="F553" s="8"/>
      <c r="G553" s="11"/>
      <c r="H553" s="8"/>
      <c r="I553" s="8"/>
      <c r="J553" s="49"/>
      <c r="K553" s="9"/>
    </row>
    <row r="554" spans="2:11" ht="20.149999999999999" customHeight="1" x14ac:dyDescent="0.35">
      <c r="B554" s="8"/>
      <c r="C554" s="8"/>
      <c r="D554" s="8"/>
      <c r="E554" s="8"/>
      <c r="F554" s="8"/>
      <c r="G554" s="11"/>
      <c r="H554" s="8"/>
      <c r="I554" s="8"/>
      <c r="J554" s="49"/>
      <c r="K554" s="9"/>
    </row>
    <row r="555" spans="2:11" ht="20.149999999999999" customHeight="1" x14ac:dyDescent="0.35">
      <c r="B555" s="8"/>
      <c r="C555" s="8"/>
      <c r="D555" s="8"/>
      <c r="E555" s="8"/>
      <c r="F555" s="8"/>
      <c r="G555" s="11"/>
      <c r="H555" s="8"/>
      <c r="I555" s="8"/>
      <c r="J555" s="49"/>
      <c r="K555" s="9"/>
    </row>
    <row r="556" spans="2:11" ht="20.149999999999999" customHeight="1" x14ac:dyDescent="0.35">
      <c r="B556" s="8"/>
      <c r="C556" s="8"/>
      <c r="D556" s="8"/>
      <c r="E556" s="8"/>
      <c r="F556" s="8"/>
      <c r="G556" s="11"/>
      <c r="H556" s="8"/>
      <c r="I556" s="8"/>
      <c r="J556" s="49"/>
      <c r="K556" s="9"/>
    </row>
    <row r="557" spans="2:11" ht="20.149999999999999" customHeight="1" x14ac:dyDescent="0.35">
      <c r="B557" s="8"/>
      <c r="C557" s="8"/>
      <c r="D557" s="8"/>
      <c r="E557" s="8"/>
      <c r="F557" s="8"/>
      <c r="G557" s="11"/>
      <c r="H557" s="8"/>
      <c r="I557" s="8"/>
      <c r="J557" s="49"/>
      <c r="K557" s="9"/>
    </row>
    <row r="558" spans="2:11" ht="20.149999999999999" customHeight="1" x14ac:dyDescent="0.35">
      <c r="B558" s="8"/>
      <c r="C558" s="8"/>
      <c r="D558" s="8"/>
      <c r="E558" s="8"/>
      <c r="F558" s="8"/>
      <c r="G558" s="11"/>
      <c r="H558" s="8"/>
      <c r="I558" s="8"/>
      <c r="J558" s="49"/>
      <c r="K558" s="9"/>
    </row>
    <row r="559" spans="2:11" ht="20.149999999999999" customHeight="1" x14ac:dyDescent="0.35">
      <c r="B559" s="8"/>
      <c r="C559" s="8"/>
      <c r="D559" s="8"/>
      <c r="E559" s="8"/>
      <c r="F559" s="8"/>
      <c r="G559" s="11"/>
      <c r="H559" s="8"/>
      <c r="I559" s="8"/>
      <c r="J559" s="49"/>
      <c r="K559" s="9"/>
    </row>
    <row r="560" spans="2:11" ht="20.149999999999999" customHeight="1" x14ac:dyDescent="0.35">
      <c r="B560" s="8"/>
      <c r="C560" s="8"/>
      <c r="D560" s="8"/>
      <c r="E560" s="8"/>
      <c r="F560" s="8"/>
      <c r="G560" s="11"/>
      <c r="H560" s="8"/>
      <c r="I560" s="8"/>
      <c r="J560" s="49"/>
      <c r="K560" s="9"/>
    </row>
    <row r="561" spans="2:11" ht="20.149999999999999" customHeight="1" x14ac:dyDescent="0.35">
      <c r="B561" s="8"/>
      <c r="C561" s="8"/>
      <c r="D561" s="8"/>
      <c r="E561" s="8"/>
      <c r="F561" s="8"/>
      <c r="G561" s="11"/>
      <c r="H561" s="8"/>
      <c r="I561" s="8"/>
      <c r="J561" s="49"/>
      <c r="K561" s="9"/>
    </row>
    <row r="562" spans="2:11" ht="20.149999999999999" customHeight="1" x14ac:dyDescent="0.35">
      <c r="B562" s="8"/>
      <c r="C562" s="8"/>
      <c r="D562" s="8"/>
      <c r="E562" s="8"/>
      <c r="F562" s="8"/>
      <c r="G562" s="11"/>
      <c r="H562" s="8"/>
      <c r="I562" s="8"/>
      <c r="J562" s="49"/>
      <c r="K562" s="9"/>
    </row>
    <row r="563" spans="2:11" ht="20.149999999999999" customHeight="1" x14ac:dyDescent="0.35">
      <c r="B563" s="8"/>
      <c r="C563" s="8"/>
      <c r="D563" s="8"/>
      <c r="E563" s="8"/>
      <c r="F563" s="8"/>
      <c r="G563" s="11"/>
      <c r="H563" s="8"/>
      <c r="I563" s="8"/>
      <c r="J563" s="49"/>
      <c r="K563" s="9"/>
    </row>
    <row r="564" spans="2:11" ht="20.149999999999999" customHeight="1" x14ac:dyDescent="0.35">
      <c r="B564" s="8"/>
      <c r="C564" s="8"/>
      <c r="D564" s="8"/>
      <c r="E564" s="8"/>
      <c r="F564" s="8"/>
      <c r="G564" s="11"/>
      <c r="H564" s="8"/>
      <c r="I564" s="8"/>
      <c r="J564" s="49"/>
      <c r="K564" s="9"/>
    </row>
    <row r="565" spans="2:11" ht="20.149999999999999" customHeight="1" x14ac:dyDescent="0.35">
      <c r="B565" s="8"/>
      <c r="C565" s="8"/>
      <c r="D565" s="8"/>
      <c r="E565" s="8"/>
      <c r="F565" s="8"/>
      <c r="G565" s="11"/>
      <c r="H565" s="8"/>
      <c r="I565" s="8"/>
      <c r="J565" s="49"/>
      <c r="K565" s="9"/>
    </row>
    <row r="566" spans="2:11" ht="20.149999999999999" customHeight="1" x14ac:dyDescent="0.35">
      <c r="B566" s="8"/>
      <c r="C566" s="8"/>
      <c r="D566" s="8"/>
      <c r="E566" s="8"/>
      <c r="F566" s="8"/>
      <c r="G566" s="11"/>
      <c r="H566" s="8"/>
      <c r="I566" s="8"/>
      <c r="J566" s="49"/>
      <c r="K566" s="9"/>
    </row>
    <row r="567" spans="2:11" ht="20.149999999999999" customHeight="1" x14ac:dyDescent="0.35">
      <c r="B567" s="8"/>
      <c r="C567" s="8"/>
      <c r="D567" s="8"/>
      <c r="E567" s="8"/>
      <c r="F567" s="8"/>
      <c r="G567" s="11"/>
      <c r="H567" s="8"/>
      <c r="I567" s="8"/>
      <c r="J567" s="49"/>
      <c r="K567" s="9"/>
    </row>
    <row r="568" spans="2:11" ht="20.149999999999999" customHeight="1" x14ac:dyDescent="0.35">
      <c r="B568" s="8"/>
      <c r="C568" s="8"/>
      <c r="D568" s="8"/>
      <c r="E568" s="8"/>
      <c r="F568" s="8"/>
      <c r="G568" s="11"/>
      <c r="H568" s="8"/>
      <c r="I568" s="8"/>
      <c r="J568" s="49"/>
      <c r="K568" s="9"/>
    </row>
    <row r="569" spans="2:11" ht="20.149999999999999" customHeight="1" x14ac:dyDescent="0.35">
      <c r="B569" s="8"/>
      <c r="C569" s="8"/>
      <c r="D569" s="8"/>
      <c r="E569" s="8"/>
      <c r="F569" s="8"/>
      <c r="G569" s="11"/>
      <c r="H569" s="8"/>
      <c r="I569" s="8"/>
      <c r="J569" s="49"/>
      <c r="K569" s="9"/>
    </row>
    <row r="570" spans="2:11" ht="20.149999999999999" customHeight="1" x14ac:dyDescent="0.35">
      <c r="B570" s="8"/>
      <c r="C570" s="8"/>
      <c r="D570" s="8"/>
      <c r="E570" s="8"/>
      <c r="F570" s="8"/>
      <c r="G570" s="11"/>
      <c r="H570" s="8"/>
      <c r="I570" s="8"/>
      <c r="J570" s="49"/>
      <c r="K570" s="9"/>
    </row>
    <row r="571" spans="2:11" ht="20.149999999999999" customHeight="1" x14ac:dyDescent="0.35">
      <c r="B571" s="8"/>
      <c r="C571" s="8"/>
      <c r="D571" s="8"/>
      <c r="E571" s="8"/>
      <c r="F571" s="8"/>
      <c r="G571" s="11"/>
      <c r="H571" s="8"/>
      <c r="I571" s="8"/>
      <c r="J571" s="49"/>
      <c r="K571" s="9"/>
    </row>
    <row r="572" spans="2:11" ht="20.149999999999999" customHeight="1" x14ac:dyDescent="0.35">
      <c r="B572" s="8"/>
      <c r="C572" s="8"/>
      <c r="D572" s="8"/>
      <c r="E572" s="8"/>
      <c r="F572" s="8"/>
      <c r="G572" s="11"/>
      <c r="H572" s="8"/>
      <c r="I572" s="8"/>
      <c r="J572" s="49"/>
      <c r="K572" s="9"/>
    </row>
    <row r="573" spans="2:11" ht="20.149999999999999" customHeight="1" x14ac:dyDescent="0.35">
      <c r="B573" s="8"/>
      <c r="C573" s="8"/>
      <c r="D573" s="8"/>
      <c r="E573" s="8"/>
      <c r="F573" s="8"/>
      <c r="G573" s="11"/>
      <c r="H573" s="8"/>
      <c r="I573" s="8"/>
      <c r="J573" s="49"/>
      <c r="K573" s="9"/>
    </row>
    <row r="574" spans="2:11" ht="20.149999999999999" customHeight="1" x14ac:dyDescent="0.35">
      <c r="B574" s="8"/>
      <c r="C574" s="8"/>
      <c r="D574" s="8"/>
      <c r="E574" s="8"/>
      <c r="F574" s="8"/>
      <c r="G574" s="11"/>
      <c r="H574" s="8"/>
      <c r="I574" s="8"/>
      <c r="J574" s="49"/>
      <c r="K574" s="9"/>
    </row>
    <row r="575" spans="2:11" ht="20.149999999999999" customHeight="1" x14ac:dyDescent="0.35">
      <c r="B575" s="8"/>
      <c r="C575" s="8"/>
      <c r="D575" s="8"/>
      <c r="E575" s="8"/>
      <c r="F575" s="8"/>
      <c r="G575" s="11"/>
      <c r="H575" s="8"/>
      <c r="I575" s="8"/>
      <c r="J575" s="49"/>
      <c r="K575" s="9"/>
    </row>
    <row r="576" spans="2:11" ht="20.149999999999999" customHeight="1" x14ac:dyDescent="0.35">
      <c r="B576" s="8"/>
      <c r="C576" s="8"/>
      <c r="D576" s="8"/>
      <c r="E576" s="8"/>
      <c r="F576" s="8"/>
      <c r="G576" s="11"/>
      <c r="H576" s="8"/>
      <c r="I576" s="8"/>
      <c r="J576" s="49"/>
      <c r="K576" s="9"/>
    </row>
    <row r="577" spans="2:11" ht="20.149999999999999" customHeight="1" x14ac:dyDescent="0.35">
      <c r="B577" s="8"/>
      <c r="C577" s="8"/>
      <c r="D577" s="8"/>
      <c r="E577" s="8"/>
      <c r="F577" s="8"/>
      <c r="G577" s="11"/>
      <c r="H577" s="8"/>
      <c r="I577" s="8"/>
      <c r="J577" s="49"/>
      <c r="K577" s="9"/>
    </row>
    <row r="578" spans="2:11" ht="20.149999999999999" customHeight="1" x14ac:dyDescent="0.35">
      <c r="B578" s="8"/>
      <c r="C578" s="8"/>
      <c r="D578" s="8"/>
      <c r="E578" s="8"/>
      <c r="F578" s="8"/>
      <c r="G578" s="11"/>
      <c r="H578" s="8"/>
      <c r="I578" s="8"/>
      <c r="J578" s="49"/>
      <c r="K578" s="9"/>
    </row>
    <row r="579" spans="2:11" ht="20.149999999999999" customHeight="1" x14ac:dyDescent="0.35">
      <c r="B579" s="8"/>
      <c r="C579" s="8"/>
      <c r="D579" s="8"/>
      <c r="E579" s="8"/>
      <c r="F579" s="8"/>
      <c r="G579" s="11"/>
      <c r="H579" s="8"/>
      <c r="I579" s="8"/>
      <c r="J579" s="49"/>
      <c r="K579" s="9"/>
    </row>
    <row r="580" spans="2:11" ht="20.149999999999999" customHeight="1" x14ac:dyDescent="0.35">
      <c r="B580" s="8"/>
      <c r="C580" s="8"/>
      <c r="D580" s="8"/>
      <c r="E580" s="8"/>
      <c r="F580" s="8"/>
      <c r="G580" s="11"/>
      <c r="H580" s="8"/>
      <c r="I580" s="8"/>
      <c r="J580" s="49"/>
      <c r="K580" s="9"/>
    </row>
    <row r="581" spans="2:11" ht="20.149999999999999" customHeight="1" x14ac:dyDescent="0.35">
      <c r="B581" s="8"/>
      <c r="C581" s="8"/>
      <c r="D581" s="8"/>
      <c r="E581" s="8"/>
      <c r="F581" s="8"/>
      <c r="G581" s="11"/>
      <c r="H581" s="8"/>
      <c r="I581" s="8"/>
      <c r="J581" s="49"/>
      <c r="K581" s="9"/>
    </row>
    <row r="582" spans="2:11" ht="20.149999999999999" customHeight="1" x14ac:dyDescent="0.35">
      <c r="B582" s="8"/>
      <c r="C582" s="8"/>
      <c r="D582" s="8"/>
      <c r="E582" s="8"/>
      <c r="F582" s="8"/>
      <c r="G582" s="11"/>
      <c r="H582" s="8"/>
      <c r="I582" s="8"/>
      <c r="J582" s="49"/>
      <c r="K582" s="9"/>
    </row>
    <row r="583" spans="2:11" ht="20.149999999999999" customHeight="1" x14ac:dyDescent="0.35">
      <c r="B583" s="8"/>
      <c r="C583" s="8"/>
      <c r="D583" s="8"/>
      <c r="E583" s="8"/>
      <c r="F583" s="8"/>
      <c r="G583" s="11"/>
      <c r="H583" s="8"/>
      <c r="I583" s="8"/>
      <c r="J583" s="49"/>
      <c r="K583" s="9"/>
    </row>
    <row r="584" spans="2:11" ht="20.149999999999999" customHeight="1" x14ac:dyDescent="0.35">
      <c r="B584" s="8"/>
      <c r="C584" s="8"/>
      <c r="D584" s="8"/>
      <c r="E584" s="8"/>
      <c r="F584" s="8"/>
      <c r="G584" s="11"/>
      <c r="H584" s="8"/>
      <c r="I584" s="8"/>
      <c r="J584" s="49"/>
      <c r="K584" s="9"/>
    </row>
    <row r="585" spans="2:11" ht="20.149999999999999" customHeight="1" x14ac:dyDescent="0.35">
      <c r="B585" s="8"/>
      <c r="C585" s="8"/>
      <c r="D585" s="8"/>
      <c r="E585" s="8"/>
      <c r="F585" s="8"/>
      <c r="G585" s="11"/>
      <c r="H585" s="8"/>
      <c r="I585" s="8"/>
      <c r="J585" s="49"/>
      <c r="K585" s="9"/>
    </row>
    <row r="586" spans="2:11" ht="20.149999999999999" customHeight="1" x14ac:dyDescent="0.35">
      <c r="B586" s="8"/>
      <c r="C586" s="8"/>
      <c r="D586" s="8"/>
      <c r="E586" s="8"/>
      <c r="F586" s="8"/>
      <c r="G586" s="11"/>
      <c r="H586" s="8"/>
      <c r="I586" s="8"/>
      <c r="J586" s="49"/>
      <c r="K586" s="9"/>
    </row>
    <row r="587" spans="2:11" ht="20.149999999999999" customHeight="1" x14ac:dyDescent="0.35">
      <c r="B587" s="8"/>
      <c r="C587" s="8"/>
      <c r="D587" s="8"/>
      <c r="E587" s="8"/>
      <c r="F587" s="8"/>
      <c r="G587" s="11"/>
      <c r="H587" s="8"/>
      <c r="I587" s="8"/>
      <c r="J587" s="49"/>
      <c r="K587" s="9"/>
    </row>
    <row r="588" spans="2:11" ht="20.149999999999999" customHeight="1" x14ac:dyDescent="0.35">
      <c r="B588" s="8"/>
      <c r="C588" s="8"/>
      <c r="D588" s="8"/>
      <c r="E588" s="8"/>
      <c r="F588" s="8"/>
      <c r="G588" s="11"/>
      <c r="H588" s="8"/>
      <c r="I588" s="8"/>
      <c r="J588" s="49"/>
      <c r="K588" s="9"/>
    </row>
    <row r="589" spans="2:11" ht="20.149999999999999" customHeight="1" x14ac:dyDescent="0.35">
      <c r="B589" s="8"/>
      <c r="C589" s="8"/>
      <c r="D589" s="8"/>
      <c r="E589" s="8"/>
      <c r="F589" s="8"/>
      <c r="G589" s="11"/>
      <c r="H589" s="8"/>
      <c r="I589" s="8"/>
      <c r="J589" s="49"/>
      <c r="K589" s="9"/>
    </row>
    <row r="590" spans="2:11" ht="20.149999999999999" customHeight="1" x14ac:dyDescent="0.35">
      <c r="B590" s="8"/>
      <c r="C590" s="8"/>
      <c r="D590" s="8"/>
      <c r="E590" s="8"/>
      <c r="F590" s="8"/>
      <c r="G590" s="11"/>
      <c r="H590" s="8"/>
      <c r="I590" s="8"/>
      <c r="J590" s="49"/>
      <c r="K590" s="9"/>
    </row>
    <row r="591" spans="2:11" ht="20.149999999999999" customHeight="1" x14ac:dyDescent="0.35">
      <c r="B591" s="8"/>
      <c r="C591" s="8"/>
      <c r="D591" s="8"/>
      <c r="E591" s="8"/>
      <c r="F591" s="8"/>
      <c r="G591" s="11"/>
      <c r="H591" s="8"/>
      <c r="I591" s="8"/>
      <c r="J591" s="49"/>
      <c r="K591" s="9"/>
    </row>
    <row r="592" spans="2:11" ht="20.149999999999999" customHeight="1" x14ac:dyDescent="0.35">
      <c r="B592" s="8"/>
      <c r="C592" s="8"/>
      <c r="D592" s="8"/>
      <c r="E592" s="8"/>
      <c r="F592" s="8"/>
      <c r="G592" s="11"/>
      <c r="H592" s="8"/>
      <c r="I592" s="8"/>
      <c r="J592" s="49"/>
      <c r="K592" s="9"/>
    </row>
    <row r="593" spans="2:11" ht="20.149999999999999" customHeight="1" x14ac:dyDescent="0.35">
      <c r="B593" s="8"/>
      <c r="C593" s="8"/>
      <c r="D593" s="8"/>
      <c r="E593" s="8"/>
      <c r="F593" s="8"/>
      <c r="G593" s="11"/>
      <c r="H593" s="8"/>
      <c r="I593" s="8"/>
      <c r="J593" s="49"/>
      <c r="K593" s="9"/>
    </row>
    <row r="594" spans="2:11" ht="20.149999999999999" customHeight="1" x14ac:dyDescent="0.35">
      <c r="B594" s="8"/>
      <c r="C594" s="8"/>
      <c r="D594" s="8"/>
      <c r="E594" s="8"/>
      <c r="F594" s="8"/>
      <c r="G594" s="11"/>
      <c r="H594" s="8"/>
      <c r="I594" s="8"/>
      <c r="J594" s="49"/>
      <c r="K594" s="9"/>
    </row>
    <row r="595" spans="2:11" ht="20.149999999999999" customHeight="1" x14ac:dyDescent="0.35">
      <c r="B595" s="8"/>
      <c r="C595" s="8"/>
      <c r="D595" s="8"/>
      <c r="E595" s="8"/>
      <c r="F595" s="8"/>
      <c r="G595" s="11"/>
      <c r="H595" s="8"/>
      <c r="I595" s="8"/>
      <c r="J595" s="49"/>
      <c r="K595" s="9"/>
    </row>
    <row r="596" spans="2:11" ht="20.149999999999999" customHeight="1" x14ac:dyDescent="0.35">
      <c r="B596" s="8"/>
      <c r="C596" s="8"/>
      <c r="D596" s="8"/>
      <c r="E596" s="8"/>
      <c r="F596" s="8"/>
      <c r="G596" s="11"/>
      <c r="H596" s="8"/>
      <c r="I596" s="8"/>
      <c r="J596" s="49"/>
      <c r="K596" s="9"/>
    </row>
    <row r="597" spans="2:11" ht="20.149999999999999" customHeight="1" x14ac:dyDescent="0.35">
      <c r="B597" s="8"/>
      <c r="C597" s="8"/>
      <c r="D597" s="8"/>
      <c r="E597" s="8"/>
      <c r="F597" s="8"/>
      <c r="G597" s="11"/>
      <c r="H597" s="8"/>
      <c r="I597" s="8"/>
      <c r="J597" s="49"/>
      <c r="K597" s="9"/>
    </row>
    <row r="598" spans="2:11" ht="20.149999999999999" customHeight="1" x14ac:dyDescent="0.35">
      <c r="B598" s="8"/>
      <c r="C598" s="8"/>
      <c r="D598" s="8"/>
      <c r="E598" s="8"/>
      <c r="F598" s="8"/>
      <c r="G598" s="11"/>
      <c r="H598" s="8"/>
      <c r="I598" s="8"/>
      <c r="J598" s="49"/>
      <c r="K598" s="9"/>
    </row>
    <row r="599" spans="2:11" ht="20.149999999999999" customHeight="1" x14ac:dyDescent="0.35">
      <c r="B599" s="8"/>
      <c r="C599" s="8"/>
      <c r="D599" s="8"/>
      <c r="E599" s="8"/>
      <c r="F599" s="8"/>
      <c r="G599" s="11"/>
      <c r="H599" s="8"/>
      <c r="I599" s="8"/>
      <c r="J599" s="49"/>
      <c r="K599" s="9"/>
    </row>
    <row r="600" spans="2:11" ht="20.149999999999999" customHeight="1" x14ac:dyDescent="0.35">
      <c r="B600" s="8"/>
      <c r="C600" s="8"/>
      <c r="D600" s="8"/>
      <c r="E600" s="8"/>
      <c r="F600" s="8"/>
      <c r="G600" s="11"/>
      <c r="H600" s="8"/>
      <c r="I600" s="8"/>
      <c r="J600" s="49"/>
      <c r="K600" s="9"/>
    </row>
    <row r="601" spans="2:11" ht="20.149999999999999" customHeight="1" x14ac:dyDescent="0.35">
      <c r="B601" s="8"/>
      <c r="C601" s="8"/>
      <c r="D601" s="8"/>
      <c r="E601" s="8"/>
      <c r="F601" s="8"/>
      <c r="G601" s="11"/>
      <c r="H601" s="8"/>
      <c r="I601" s="8"/>
      <c r="J601" s="49"/>
      <c r="K601" s="9"/>
    </row>
    <row r="602" spans="2:11" ht="20.149999999999999" customHeight="1" x14ac:dyDescent="0.35">
      <c r="B602" s="8"/>
      <c r="C602" s="8"/>
      <c r="D602" s="8"/>
      <c r="E602" s="8"/>
      <c r="F602" s="8"/>
      <c r="G602" s="11"/>
      <c r="H602" s="8"/>
      <c r="I602" s="8"/>
      <c r="J602" s="49"/>
      <c r="K602" s="9"/>
    </row>
    <row r="603" spans="2:11" ht="20.149999999999999" customHeight="1" x14ac:dyDescent="0.35">
      <c r="B603" s="8"/>
      <c r="C603" s="8"/>
      <c r="D603" s="8"/>
      <c r="E603" s="8"/>
      <c r="F603" s="8"/>
      <c r="G603" s="11"/>
      <c r="H603" s="8"/>
      <c r="I603" s="8"/>
      <c r="J603" s="49"/>
      <c r="K603" s="9"/>
    </row>
    <row r="604" spans="2:11" ht="20.149999999999999" customHeight="1" x14ac:dyDescent="0.35">
      <c r="B604" s="8"/>
      <c r="C604" s="8"/>
      <c r="D604" s="8"/>
      <c r="E604" s="8"/>
      <c r="F604" s="8"/>
      <c r="G604" s="11"/>
      <c r="H604" s="8"/>
      <c r="I604" s="8"/>
      <c r="J604" s="49"/>
      <c r="K604" s="9"/>
    </row>
    <row r="605" spans="2:11" ht="20.149999999999999" customHeight="1" x14ac:dyDescent="0.35">
      <c r="B605" s="8"/>
      <c r="C605" s="8"/>
      <c r="D605" s="8"/>
      <c r="E605" s="8"/>
      <c r="F605" s="8"/>
      <c r="G605" s="11"/>
      <c r="H605" s="8"/>
      <c r="I605" s="8"/>
      <c r="J605" s="49"/>
      <c r="K605" s="9"/>
    </row>
    <row r="606" spans="2:11" ht="20.149999999999999" customHeight="1" x14ac:dyDescent="0.35">
      <c r="B606" s="8"/>
      <c r="C606" s="8"/>
      <c r="D606" s="8"/>
      <c r="E606" s="8"/>
      <c r="F606" s="8"/>
      <c r="G606" s="11"/>
      <c r="H606" s="8"/>
      <c r="I606" s="8"/>
      <c r="J606" s="49"/>
      <c r="K606" s="9"/>
    </row>
    <row r="607" spans="2:11" ht="20.149999999999999" customHeight="1" x14ac:dyDescent="0.35">
      <c r="B607" s="8"/>
      <c r="C607" s="8"/>
      <c r="D607" s="8"/>
      <c r="E607" s="8"/>
      <c r="F607" s="8"/>
      <c r="G607" s="11"/>
      <c r="H607" s="8"/>
      <c r="I607" s="8"/>
      <c r="J607" s="49"/>
      <c r="K607" s="9"/>
    </row>
    <row r="608" spans="2:11" ht="20.149999999999999" customHeight="1" x14ac:dyDescent="0.35">
      <c r="B608" s="8"/>
      <c r="C608" s="8"/>
      <c r="D608" s="8"/>
      <c r="E608" s="8"/>
      <c r="F608" s="8"/>
      <c r="G608" s="11"/>
      <c r="H608" s="8"/>
      <c r="I608" s="8"/>
      <c r="J608" s="49"/>
      <c r="K608" s="9"/>
    </row>
    <row r="609" spans="2:11" ht="20.149999999999999" customHeight="1" x14ac:dyDescent="0.35">
      <c r="B609" s="8"/>
      <c r="C609" s="8"/>
      <c r="D609" s="8"/>
      <c r="E609" s="8"/>
      <c r="F609" s="8"/>
      <c r="G609" s="11"/>
      <c r="H609" s="8"/>
      <c r="I609" s="8"/>
      <c r="J609" s="49"/>
      <c r="K609" s="9"/>
    </row>
    <row r="610" spans="2:11" ht="20.149999999999999" customHeight="1" x14ac:dyDescent="0.35">
      <c r="B610" s="8"/>
      <c r="C610" s="8"/>
      <c r="D610" s="8"/>
      <c r="E610" s="8"/>
      <c r="F610" s="8"/>
      <c r="G610" s="11"/>
      <c r="H610" s="8"/>
      <c r="I610" s="8"/>
      <c r="J610" s="49"/>
      <c r="K610" s="9"/>
    </row>
    <row r="611" spans="2:11" ht="20.149999999999999" customHeight="1" x14ac:dyDescent="0.35">
      <c r="B611" s="8"/>
      <c r="C611" s="8"/>
      <c r="D611" s="8"/>
      <c r="E611" s="8"/>
      <c r="F611" s="8"/>
      <c r="G611" s="11"/>
      <c r="H611" s="8"/>
      <c r="I611" s="8"/>
      <c r="J611" s="49"/>
      <c r="K611" s="9"/>
    </row>
    <row r="612" spans="2:11" ht="20.149999999999999" customHeight="1" x14ac:dyDescent="0.35">
      <c r="B612" s="8"/>
      <c r="C612" s="8"/>
      <c r="D612" s="8"/>
      <c r="E612" s="8"/>
      <c r="F612" s="8"/>
      <c r="G612" s="11"/>
      <c r="H612" s="8"/>
      <c r="I612" s="8"/>
      <c r="J612" s="49"/>
      <c r="K612" s="9"/>
    </row>
    <row r="613" spans="2:11" ht="20.149999999999999" customHeight="1" x14ac:dyDescent="0.35">
      <c r="B613" s="8"/>
      <c r="C613" s="8"/>
      <c r="D613" s="8"/>
      <c r="E613" s="8"/>
      <c r="F613" s="8"/>
      <c r="G613" s="11"/>
      <c r="H613" s="8"/>
      <c r="I613" s="8"/>
      <c r="J613" s="49"/>
      <c r="K613" s="9"/>
    </row>
    <row r="614" spans="2:11" ht="20.149999999999999" customHeight="1" x14ac:dyDescent="0.35">
      <c r="B614" s="8"/>
      <c r="C614" s="8"/>
      <c r="D614" s="8"/>
      <c r="E614" s="8"/>
      <c r="F614" s="8"/>
      <c r="G614" s="11"/>
      <c r="H614" s="8"/>
      <c r="I614" s="8"/>
      <c r="J614" s="49"/>
      <c r="K614" s="9"/>
    </row>
    <row r="615" spans="2:11" ht="20.149999999999999" customHeight="1" x14ac:dyDescent="0.35">
      <c r="B615" s="8"/>
      <c r="C615" s="8"/>
      <c r="D615" s="8"/>
      <c r="E615" s="8"/>
      <c r="F615" s="8"/>
      <c r="G615" s="11"/>
      <c r="H615" s="8"/>
      <c r="I615" s="8"/>
      <c r="J615" s="49"/>
      <c r="K615" s="9"/>
    </row>
    <row r="616" spans="2:11" ht="20.149999999999999" customHeight="1" x14ac:dyDescent="0.35">
      <c r="B616" s="8"/>
      <c r="C616" s="8"/>
      <c r="D616" s="8"/>
      <c r="E616" s="8"/>
      <c r="F616" s="8"/>
      <c r="G616" s="11"/>
      <c r="H616" s="8"/>
      <c r="I616" s="8"/>
      <c r="J616" s="49"/>
      <c r="K616" s="9"/>
    </row>
    <row r="617" spans="2:11" ht="20.149999999999999" customHeight="1" x14ac:dyDescent="0.35">
      <c r="B617" s="8"/>
      <c r="C617" s="8"/>
      <c r="D617" s="8"/>
      <c r="E617" s="8"/>
      <c r="F617" s="8"/>
      <c r="G617" s="11"/>
      <c r="H617" s="8"/>
      <c r="I617" s="8"/>
      <c r="J617" s="49"/>
      <c r="K617" s="9"/>
    </row>
    <row r="618" spans="2:11" ht="20.149999999999999" customHeight="1" x14ac:dyDescent="0.35">
      <c r="B618" s="8"/>
      <c r="C618" s="8"/>
      <c r="D618" s="8"/>
      <c r="E618" s="8"/>
      <c r="F618" s="8"/>
      <c r="G618" s="11"/>
      <c r="H618" s="8"/>
      <c r="I618" s="8"/>
      <c r="J618" s="49"/>
      <c r="K618" s="9"/>
    </row>
    <row r="619" spans="2:11" ht="20.149999999999999" customHeight="1" x14ac:dyDescent="0.35">
      <c r="B619" s="8"/>
      <c r="C619" s="8"/>
      <c r="D619" s="8"/>
      <c r="E619" s="8"/>
      <c r="F619" s="8"/>
      <c r="G619" s="11"/>
      <c r="H619" s="8"/>
      <c r="I619" s="8"/>
      <c r="J619" s="49"/>
      <c r="K619" s="9"/>
    </row>
    <row r="620" spans="2:11" ht="20.149999999999999" customHeight="1" x14ac:dyDescent="0.35">
      <c r="B620" s="8"/>
      <c r="C620" s="8"/>
      <c r="D620" s="8"/>
      <c r="E620" s="8"/>
      <c r="F620" s="8"/>
      <c r="G620" s="11"/>
      <c r="H620" s="8"/>
      <c r="I620" s="8"/>
      <c r="J620" s="49"/>
      <c r="K620" s="9"/>
    </row>
    <row r="621" spans="2:11" ht="20.149999999999999" customHeight="1" x14ac:dyDescent="0.35">
      <c r="B621" s="8"/>
      <c r="C621" s="8"/>
      <c r="D621" s="8"/>
      <c r="E621" s="8"/>
      <c r="F621" s="8"/>
      <c r="G621" s="11"/>
      <c r="H621" s="8"/>
      <c r="I621" s="8"/>
      <c r="J621" s="49"/>
      <c r="K621" s="9"/>
    </row>
    <row r="622" spans="2:11" ht="20.149999999999999" customHeight="1" x14ac:dyDescent="0.35">
      <c r="B622" s="8"/>
      <c r="C622" s="8"/>
      <c r="D622" s="8"/>
      <c r="E622" s="8"/>
      <c r="F622" s="8"/>
      <c r="G622" s="11"/>
      <c r="H622" s="8"/>
      <c r="I622" s="8"/>
      <c r="J622" s="49"/>
      <c r="K622" s="9"/>
    </row>
    <row r="623" spans="2:11" ht="20.149999999999999" customHeight="1" x14ac:dyDescent="0.35">
      <c r="B623" s="8"/>
      <c r="C623" s="8"/>
      <c r="D623" s="8"/>
      <c r="E623" s="8"/>
      <c r="F623" s="8"/>
      <c r="G623" s="11"/>
      <c r="H623" s="8"/>
      <c r="I623" s="8"/>
      <c r="J623" s="49"/>
      <c r="K623" s="9"/>
    </row>
    <row r="624" spans="2:11" ht="20.149999999999999" customHeight="1" x14ac:dyDescent="0.35">
      <c r="B624" s="8"/>
      <c r="C624" s="8"/>
      <c r="D624" s="8"/>
      <c r="E624" s="8"/>
      <c r="F624" s="8"/>
      <c r="G624" s="11"/>
      <c r="H624" s="8"/>
      <c r="I624" s="8"/>
      <c r="J624" s="49"/>
      <c r="K624" s="9"/>
    </row>
    <row r="625" spans="2:11" ht="20.149999999999999" customHeight="1" x14ac:dyDescent="0.35">
      <c r="B625" s="8"/>
      <c r="C625" s="8"/>
      <c r="D625" s="8"/>
      <c r="E625" s="8"/>
      <c r="F625" s="8"/>
      <c r="G625" s="11"/>
      <c r="H625" s="8"/>
      <c r="I625" s="8"/>
      <c r="J625" s="49"/>
      <c r="K625" s="9"/>
    </row>
    <row r="626" spans="2:11" ht="20.149999999999999" customHeight="1" x14ac:dyDescent="0.35">
      <c r="B626" s="8"/>
      <c r="C626" s="8"/>
      <c r="D626" s="8"/>
      <c r="E626" s="8"/>
      <c r="F626" s="8"/>
      <c r="G626" s="11"/>
      <c r="H626" s="8"/>
      <c r="I626" s="8"/>
      <c r="J626" s="49"/>
      <c r="K626" s="9"/>
    </row>
    <row r="627" spans="2:11" ht="20.149999999999999" customHeight="1" x14ac:dyDescent="0.35">
      <c r="B627" s="8"/>
      <c r="C627" s="8"/>
      <c r="D627" s="8"/>
      <c r="E627" s="8"/>
      <c r="F627" s="8"/>
      <c r="G627" s="11"/>
      <c r="H627" s="8"/>
      <c r="I627" s="8"/>
      <c r="J627" s="49"/>
      <c r="K627" s="9"/>
    </row>
    <row r="628" spans="2:11" ht="20.149999999999999" customHeight="1" x14ac:dyDescent="0.35">
      <c r="B628" s="8"/>
      <c r="C628" s="8"/>
      <c r="D628" s="8"/>
      <c r="E628" s="8"/>
      <c r="F628" s="8"/>
      <c r="G628" s="11"/>
      <c r="H628" s="8"/>
      <c r="I628" s="8"/>
      <c r="J628" s="49"/>
      <c r="K628" s="9"/>
    </row>
    <row r="629" spans="2:11" ht="20.149999999999999" customHeight="1" x14ac:dyDescent="0.35">
      <c r="B629" s="8"/>
      <c r="C629" s="8"/>
      <c r="D629" s="8"/>
      <c r="E629" s="8"/>
      <c r="F629" s="8"/>
      <c r="G629" s="11"/>
      <c r="H629" s="8"/>
      <c r="I629" s="8"/>
      <c r="J629" s="49"/>
      <c r="K629" s="9"/>
    </row>
    <row r="630" spans="2:11" ht="20.149999999999999" customHeight="1" x14ac:dyDescent="0.35">
      <c r="B630" s="8"/>
      <c r="C630" s="8"/>
      <c r="D630" s="8"/>
      <c r="E630" s="8"/>
      <c r="F630" s="8"/>
      <c r="G630" s="11"/>
      <c r="H630" s="8"/>
      <c r="I630" s="8"/>
      <c r="J630" s="49"/>
      <c r="K630" s="9"/>
    </row>
    <row r="631" spans="2:11" ht="20.149999999999999" customHeight="1" x14ac:dyDescent="0.35">
      <c r="B631" s="8"/>
      <c r="C631" s="8"/>
      <c r="D631" s="8"/>
      <c r="E631" s="8"/>
      <c r="F631" s="8"/>
      <c r="G631" s="11"/>
      <c r="H631" s="8"/>
      <c r="I631" s="8"/>
      <c r="J631" s="49"/>
      <c r="K631" s="9"/>
    </row>
    <row r="632" spans="2:11" ht="20.149999999999999" customHeight="1" x14ac:dyDescent="0.35">
      <c r="B632" s="8"/>
      <c r="C632" s="8"/>
      <c r="D632" s="8"/>
      <c r="E632" s="8"/>
      <c r="F632" s="8"/>
      <c r="G632" s="11"/>
      <c r="H632" s="8"/>
      <c r="I632" s="8"/>
      <c r="J632" s="49"/>
      <c r="K632" s="9"/>
    </row>
    <row r="633" spans="2:11" ht="20.149999999999999" customHeight="1" x14ac:dyDescent="0.35">
      <c r="B633" s="8"/>
      <c r="C633" s="8"/>
      <c r="D633" s="8"/>
      <c r="E633" s="8"/>
      <c r="F633" s="8"/>
      <c r="G633" s="11"/>
      <c r="H633" s="8"/>
      <c r="I633" s="8"/>
      <c r="J633" s="49"/>
      <c r="K633" s="9"/>
    </row>
    <row r="634" spans="2:11" ht="20.149999999999999" customHeight="1" x14ac:dyDescent="0.35">
      <c r="B634" s="8"/>
      <c r="C634" s="8"/>
      <c r="D634" s="8"/>
      <c r="E634" s="8"/>
      <c r="F634" s="8"/>
      <c r="G634" s="11"/>
      <c r="H634" s="8"/>
      <c r="I634" s="8"/>
      <c r="J634" s="49"/>
      <c r="K634" s="9"/>
    </row>
    <row r="635" spans="2:11" ht="20.149999999999999" customHeight="1" x14ac:dyDescent="0.35">
      <c r="B635" s="8"/>
      <c r="C635" s="8"/>
      <c r="D635" s="8"/>
      <c r="E635" s="8"/>
      <c r="F635" s="8"/>
      <c r="G635" s="11"/>
      <c r="H635" s="8"/>
      <c r="I635" s="8"/>
      <c r="J635" s="49"/>
      <c r="K635" s="9"/>
    </row>
    <row r="636" spans="2:11" ht="20.149999999999999" customHeight="1" x14ac:dyDescent="0.35">
      <c r="B636" s="8"/>
      <c r="C636" s="8"/>
      <c r="D636" s="8"/>
      <c r="E636" s="8"/>
      <c r="F636" s="8"/>
      <c r="G636" s="11"/>
      <c r="H636" s="8"/>
      <c r="I636" s="8"/>
      <c r="J636" s="49"/>
      <c r="K636" s="9"/>
    </row>
    <row r="637" spans="2:11" ht="20.149999999999999" customHeight="1" x14ac:dyDescent="0.35">
      <c r="B637" s="8"/>
      <c r="C637" s="8"/>
      <c r="D637" s="8"/>
      <c r="E637" s="8"/>
      <c r="F637" s="8"/>
      <c r="G637" s="11"/>
      <c r="H637" s="8"/>
      <c r="I637" s="8"/>
      <c r="J637" s="49"/>
      <c r="K637" s="9"/>
    </row>
    <row r="638" spans="2:11" ht="20.149999999999999" customHeight="1" x14ac:dyDescent="0.35">
      <c r="B638" s="8"/>
      <c r="C638" s="8"/>
      <c r="D638" s="8"/>
      <c r="E638" s="8"/>
      <c r="F638" s="8"/>
      <c r="G638" s="11"/>
      <c r="H638" s="8"/>
      <c r="I638" s="8"/>
      <c r="J638" s="49"/>
      <c r="K638" s="9"/>
    </row>
    <row r="639" spans="2:11" ht="20.149999999999999" customHeight="1" x14ac:dyDescent="0.35">
      <c r="B639" s="8"/>
      <c r="C639" s="8"/>
      <c r="D639" s="8"/>
      <c r="E639" s="8"/>
      <c r="F639" s="8"/>
      <c r="G639" s="11"/>
      <c r="H639" s="8"/>
      <c r="I639" s="8"/>
      <c r="J639" s="49"/>
      <c r="K639" s="9"/>
    </row>
    <row r="640" spans="2:11" ht="20.149999999999999" customHeight="1" x14ac:dyDescent="0.35">
      <c r="B640" s="8"/>
      <c r="C640" s="8"/>
      <c r="D640" s="8"/>
      <c r="E640" s="8"/>
      <c r="F640" s="8"/>
      <c r="G640" s="11"/>
      <c r="H640" s="8"/>
      <c r="I640" s="8"/>
      <c r="J640" s="49"/>
      <c r="K640" s="9"/>
    </row>
    <row r="641" spans="2:11" ht="20.149999999999999" customHeight="1" x14ac:dyDescent="0.35">
      <c r="B641" s="8"/>
      <c r="C641" s="8"/>
      <c r="D641" s="8"/>
      <c r="E641" s="8"/>
      <c r="F641" s="8"/>
      <c r="G641" s="11"/>
      <c r="H641" s="8"/>
      <c r="I641" s="8"/>
      <c r="J641" s="49"/>
      <c r="K641" s="9"/>
    </row>
    <row r="642" spans="2:11" ht="20.149999999999999" customHeight="1" x14ac:dyDescent="0.35">
      <c r="B642" s="8"/>
      <c r="C642" s="8"/>
      <c r="D642" s="8"/>
      <c r="E642" s="8"/>
      <c r="F642" s="8"/>
      <c r="G642" s="11"/>
      <c r="H642" s="8"/>
      <c r="I642" s="8"/>
      <c r="J642" s="49"/>
      <c r="K642" s="9"/>
    </row>
    <row r="643" spans="2:11" ht="20.149999999999999" customHeight="1" x14ac:dyDescent="0.35">
      <c r="B643" s="8"/>
      <c r="C643" s="8"/>
      <c r="D643" s="8"/>
      <c r="E643" s="8"/>
      <c r="F643" s="8"/>
      <c r="G643" s="11"/>
      <c r="H643" s="8"/>
      <c r="I643" s="8"/>
      <c r="J643" s="49"/>
      <c r="K643" s="9"/>
    </row>
    <row r="644" spans="2:11" ht="20.149999999999999" customHeight="1" x14ac:dyDescent="0.35">
      <c r="B644" s="8"/>
      <c r="C644" s="8"/>
      <c r="D644" s="8"/>
      <c r="E644" s="8"/>
      <c r="F644" s="8"/>
      <c r="G644" s="11"/>
      <c r="H644" s="8"/>
      <c r="I644" s="8"/>
      <c r="J644" s="49"/>
      <c r="K644" s="9"/>
    </row>
    <row r="645" spans="2:11" ht="20.149999999999999" customHeight="1" x14ac:dyDescent="0.35">
      <c r="B645" s="8"/>
      <c r="C645" s="8"/>
      <c r="D645" s="8"/>
      <c r="E645" s="8"/>
      <c r="F645" s="8"/>
      <c r="G645" s="11"/>
      <c r="H645" s="8"/>
      <c r="I645" s="8"/>
      <c r="J645" s="49"/>
      <c r="K645" s="9"/>
    </row>
    <row r="646" spans="2:11" ht="20.149999999999999" customHeight="1" x14ac:dyDescent="0.35">
      <c r="B646" s="8"/>
      <c r="C646" s="8"/>
      <c r="D646" s="8"/>
      <c r="E646" s="8"/>
      <c r="F646" s="8"/>
      <c r="G646" s="11"/>
      <c r="H646" s="8"/>
      <c r="I646" s="8"/>
      <c r="J646" s="49"/>
      <c r="K646" s="9"/>
    </row>
    <row r="647" spans="2:11" ht="20.149999999999999" customHeight="1" x14ac:dyDescent="0.35">
      <c r="B647" s="8"/>
      <c r="C647" s="8"/>
      <c r="D647" s="8"/>
      <c r="E647" s="8"/>
      <c r="F647" s="8"/>
      <c r="G647" s="11"/>
      <c r="H647" s="8"/>
      <c r="I647" s="8"/>
      <c r="J647" s="49"/>
      <c r="K647" s="9"/>
    </row>
    <row r="648" spans="2:11" ht="20.149999999999999" customHeight="1" x14ac:dyDescent="0.35">
      <c r="B648" s="8"/>
      <c r="C648" s="8"/>
      <c r="D648" s="8"/>
      <c r="E648" s="8"/>
      <c r="F648" s="8"/>
      <c r="G648" s="11"/>
      <c r="H648" s="8"/>
      <c r="I648" s="8"/>
      <c r="J648" s="49"/>
      <c r="K648" s="9"/>
    </row>
    <row r="649" spans="2:11" ht="20.149999999999999" customHeight="1" x14ac:dyDescent="0.35">
      <c r="B649" s="8"/>
      <c r="C649" s="8"/>
      <c r="D649" s="8"/>
      <c r="E649" s="8"/>
      <c r="F649" s="8"/>
      <c r="G649" s="11"/>
      <c r="H649" s="8"/>
      <c r="I649" s="8"/>
      <c r="J649" s="49"/>
      <c r="K649" s="9"/>
    </row>
    <row r="650" spans="2:11" ht="20.149999999999999" customHeight="1" x14ac:dyDescent="0.35">
      <c r="B650" s="8"/>
      <c r="C650" s="8"/>
      <c r="D650" s="8"/>
      <c r="E650" s="8"/>
      <c r="F650" s="8"/>
      <c r="G650" s="11"/>
      <c r="H650" s="8"/>
      <c r="I650" s="8"/>
      <c r="J650" s="49"/>
      <c r="K650" s="9"/>
    </row>
    <row r="651" spans="2:11" ht="20.149999999999999" customHeight="1" x14ac:dyDescent="0.35">
      <c r="B651" s="8"/>
      <c r="C651" s="8"/>
      <c r="D651" s="8"/>
      <c r="E651" s="8"/>
      <c r="F651" s="8"/>
      <c r="G651" s="11"/>
      <c r="H651" s="8"/>
      <c r="I651" s="8"/>
      <c r="J651" s="49"/>
      <c r="K651" s="9"/>
    </row>
    <row r="652" spans="2:11" ht="20.149999999999999" customHeight="1" x14ac:dyDescent="0.35">
      <c r="B652" s="8"/>
      <c r="C652" s="8"/>
      <c r="D652" s="8"/>
      <c r="E652" s="8"/>
      <c r="F652" s="8"/>
      <c r="G652" s="11"/>
      <c r="H652" s="8"/>
      <c r="I652" s="8"/>
      <c r="J652" s="49"/>
      <c r="K652" s="9"/>
    </row>
    <row r="653" spans="2:11" ht="20.149999999999999" customHeight="1" x14ac:dyDescent="0.35">
      <c r="B653" s="8"/>
      <c r="C653" s="8"/>
      <c r="D653" s="8"/>
      <c r="E653" s="8"/>
      <c r="F653" s="8"/>
      <c r="G653" s="11"/>
      <c r="H653" s="8"/>
      <c r="I653" s="8"/>
      <c r="J653" s="49"/>
      <c r="K653" s="9"/>
    </row>
    <row r="654" spans="2:11" ht="20.149999999999999" customHeight="1" x14ac:dyDescent="0.35">
      <c r="B654" s="8"/>
      <c r="C654" s="8"/>
      <c r="D654" s="8"/>
      <c r="E654" s="8"/>
      <c r="F654" s="8"/>
      <c r="G654" s="11"/>
      <c r="H654" s="8"/>
      <c r="I654" s="8"/>
      <c r="J654" s="49"/>
      <c r="K654" s="9"/>
    </row>
    <row r="655" spans="2:11" ht="20.149999999999999" customHeight="1" x14ac:dyDescent="0.35">
      <c r="B655" s="8"/>
      <c r="C655" s="8"/>
      <c r="D655" s="8"/>
      <c r="E655" s="8"/>
      <c r="F655" s="8"/>
      <c r="G655" s="11"/>
      <c r="H655" s="8"/>
      <c r="I655" s="8"/>
      <c r="J655" s="49"/>
      <c r="K655" s="9"/>
    </row>
    <row r="656" spans="2:11" ht="20.149999999999999" customHeight="1" x14ac:dyDescent="0.35">
      <c r="B656" s="8"/>
      <c r="C656" s="8"/>
      <c r="D656" s="8"/>
      <c r="E656" s="8"/>
      <c r="F656" s="8"/>
      <c r="G656" s="11"/>
      <c r="H656" s="8"/>
      <c r="I656" s="8"/>
      <c r="J656" s="49"/>
      <c r="K656" s="9"/>
    </row>
    <row r="657" spans="2:11" ht="20.149999999999999" customHeight="1" x14ac:dyDescent="0.35">
      <c r="B657" s="8"/>
      <c r="C657" s="8"/>
      <c r="D657" s="8"/>
      <c r="E657" s="8"/>
      <c r="F657" s="8"/>
      <c r="G657" s="11"/>
      <c r="H657" s="8"/>
      <c r="I657" s="8"/>
      <c r="J657" s="49"/>
      <c r="K657" s="9"/>
    </row>
    <row r="658" spans="2:11" ht="20.149999999999999" customHeight="1" x14ac:dyDescent="0.35">
      <c r="B658" s="8"/>
      <c r="C658" s="8"/>
      <c r="D658" s="8"/>
      <c r="E658" s="8"/>
      <c r="F658" s="8"/>
      <c r="G658" s="11"/>
      <c r="H658" s="8"/>
      <c r="I658" s="8"/>
      <c r="J658" s="49"/>
      <c r="K658" s="9"/>
    </row>
    <row r="659" spans="2:11" ht="20.149999999999999" customHeight="1" x14ac:dyDescent="0.35">
      <c r="B659" s="8"/>
      <c r="C659" s="8"/>
      <c r="D659" s="8"/>
      <c r="E659" s="8"/>
      <c r="F659" s="8"/>
      <c r="G659" s="11"/>
      <c r="H659" s="8"/>
      <c r="I659" s="8"/>
      <c r="J659" s="49"/>
      <c r="K659" s="9"/>
    </row>
    <row r="660" spans="2:11" ht="20.149999999999999" customHeight="1" x14ac:dyDescent="0.35">
      <c r="B660" s="8"/>
      <c r="C660" s="8"/>
      <c r="D660" s="8"/>
      <c r="E660" s="8"/>
      <c r="F660" s="8"/>
      <c r="G660" s="11"/>
      <c r="H660" s="8"/>
      <c r="I660" s="8"/>
      <c r="J660" s="49"/>
      <c r="K660" s="9"/>
    </row>
    <row r="661" spans="2:11" ht="20.149999999999999" customHeight="1" x14ac:dyDescent="0.35">
      <c r="B661" s="8"/>
      <c r="C661" s="8"/>
      <c r="D661" s="8"/>
      <c r="E661" s="8"/>
      <c r="F661" s="8"/>
      <c r="G661" s="11"/>
      <c r="H661" s="8"/>
      <c r="I661" s="8"/>
      <c r="J661" s="49"/>
      <c r="K661" s="9"/>
    </row>
    <row r="662" spans="2:11" ht="20.149999999999999" customHeight="1" x14ac:dyDescent="0.35">
      <c r="B662" s="8"/>
      <c r="C662" s="8"/>
      <c r="D662" s="8"/>
      <c r="E662" s="8"/>
      <c r="F662" s="8"/>
      <c r="G662" s="11"/>
      <c r="H662" s="8"/>
      <c r="I662" s="8"/>
      <c r="J662" s="49"/>
      <c r="K662" s="9"/>
    </row>
    <row r="663" spans="2:11" ht="20.149999999999999" customHeight="1" x14ac:dyDescent="0.35">
      <c r="B663" s="8"/>
      <c r="C663" s="8"/>
      <c r="D663" s="8"/>
      <c r="E663" s="8"/>
      <c r="F663" s="8"/>
      <c r="G663" s="11"/>
      <c r="H663" s="8"/>
      <c r="I663" s="8"/>
      <c r="J663" s="49"/>
      <c r="K663" s="9"/>
    </row>
    <row r="664" spans="2:11" ht="20.149999999999999" customHeight="1" x14ac:dyDescent="0.35">
      <c r="B664" s="8"/>
      <c r="C664" s="8"/>
      <c r="D664" s="8"/>
      <c r="E664" s="8"/>
      <c r="F664" s="8"/>
      <c r="G664" s="11"/>
      <c r="H664" s="8"/>
      <c r="I664" s="8"/>
      <c r="J664" s="49"/>
      <c r="K664" s="9"/>
    </row>
    <row r="665" spans="2:11" ht="20.149999999999999" customHeight="1" x14ac:dyDescent="0.35">
      <c r="B665" s="8"/>
      <c r="C665" s="8"/>
      <c r="D665" s="8"/>
      <c r="E665" s="8"/>
      <c r="F665" s="8"/>
      <c r="G665" s="11"/>
      <c r="H665" s="8"/>
      <c r="I665" s="8"/>
      <c r="J665" s="49"/>
      <c r="K665" s="9"/>
    </row>
    <row r="666" spans="2:11" ht="20.149999999999999" customHeight="1" x14ac:dyDescent="0.35">
      <c r="B666" s="8"/>
      <c r="C666" s="8"/>
      <c r="D666" s="8"/>
      <c r="E666" s="8"/>
      <c r="F666" s="8"/>
      <c r="G666" s="11"/>
      <c r="H666" s="8"/>
      <c r="I666" s="8"/>
      <c r="J666" s="49"/>
      <c r="K666" s="9"/>
    </row>
    <row r="667" spans="2:11" ht="20.149999999999999" customHeight="1" x14ac:dyDescent="0.35">
      <c r="B667" s="8"/>
      <c r="C667" s="8"/>
      <c r="D667" s="8"/>
      <c r="E667" s="8"/>
      <c r="F667" s="8"/>
      <c r="G667" s="11"/>
      <c r="H667" s="8"/>
      <c r="I667" s="8"/>
      <c r="J667" s="49"/>
      <c r="K667" s="9"/>
    </row>
    <row r="668" spans="2:11" ht="20.149999999999999" customHeight="1" x14ac:dyDescent="0.35">
      <c r="B668" s="8"/>
      <c r="C668" s="8"/>
      <c r="D668" s="8"/>
      <c r="E668" s="8"/>
      <c r="F668" s="8"/>
      <c r="G668" s="11"/>
      <c r="H668" s="8"/>
      <c r="I668" s="8"/>
      <c r="J668" s="49"/>
      <c r="K668" s="9"/>
    </row>
    <row r="669" spans="2:11" ht="20.149999999999999" customHeight="1" x14ac:dyDescent="0.35">
      <c r="B669" s="8"/>
      <c r="C669" s="8"/>
      <c r="D669" s="8"/>
      <c r="E669" s="8"/>
      <c r="F669" s="8"/>
      <c r="G669" s="11"/>
      <c r="H669" s="8"/>
      <c r="I669" s="8"/>
      <c r="J669" s="49"/>
      <c r="K669" s="9"/>
    </row>
    <row r="670" spans="2:11" ht="20.149999999999999" customHeight="1" x14ac:dyDescent="0.35">
      <c r="B670" s="8"/>
      <c r="C670" s="8"/>
      <c r="D670" s="8"/>
      <c r="E670" s="8"/>
      <c r="F670" s="8"/>
      <c r="G670" s="11"/>
      <c r="H670" s="8"/>
      <c r="I670" s="8"/>
      <c r="J670" s="49"/>
      <c r="K670" s="9"/>
    </row>
    <row r="671" spans="2:11" ht="20.149999999999999" customHeight="1" x14ac:dyDescent="0.35">
      <c r="B671" s="8"/>
      <c r="C671" s="8"/>
      <c r="D671" s="8"/>
      <c r="E671" s="8"/>
      <c r="F671" s="8"/>
      <c r="G671" s="11"/>
      <c r="H671" s="8"/>
      <c r="I671" s="8"/>
      <c r="J671" s="49"/>
      <c r="K671" s="9"/>
    </row>
    <row r="672" spans="2:11" ht="20.149999999999999" customHeight="1" x14ac:dyDescent="0.35">
      <c r="B672" s="8"/>
      <c r="C672" s="8"/>
      <c r="D672" s="8"/>
      <c r="E672" s="8"/>
      <c r="F672" s="8"/>
      <c r="G672" s="11"/>
      <c r="H672" s="8"/>
      <c r="I672" s="8"/>
      <c r="J672" s="49"/>
      <c r="K672" s="9"/>
    </row>
    <row r="673" spans="2:11" ht="20.149999999999999" customHeight="1" x14ac:dyDescent="0.35">
      <c r="B673" s="8"/>
      <c r="C673" s="8"/>
      <c r="D673" s="8"/>
      <c r="E673" s="8"/>
      <c r="F673" s="8"/>
      <c r="G673" s="11"/>
      <c r="H673" s="8"/>
      <c r="I673" s="8"/>
      <c r="J673" s="49"/>
      <c r="K673" s="9"/>
    </row>
    <row r="674" spans="2:11" ht="20.149999999999999" customHeight="1" x14ac:dyDescent="0.35">
      <c r="B674" s="8"/>
      <c r="C674" s="8"/>
      <c r="D674" s="8"/>
      <c r="E674" s="8"/>
      <c r="F674" s="8"/>
      <c r="G674" s="11"/>
      <c r="H674" s="8"/>
      <c r="I674" s="8"/>
      <c r="J674" s="49"/>
      <c r="K674" s="9"/>
    </row>
    <row r="675" spans="2:11" ht="20.149999999999999" customHeight="1" x14ac:dyDescent="0.35">
      <c r="B675" s="8"/>
      <c r="C675" s="8"/>
      <c r="D675" s="8"/>
      <c r="E675" s="8"/>
      <c r="F675" s="8"/>
      <c r="G675" s="11"/>
      <c r="H675" s="8"/>
      <c r="I675" s="8"/>
      <c r="J675" s="49"/>
      <c r="K675" s="9"/>
    </row>
    <row r="676" spans="2:11" ht="20.149999999999999" customHeight="1" x14ac:dyDescent="0.35">
      <c r="B676" s="8"/>
      <c r="C676" s="8"/>
      <c r="D676" s="8"/>
      <c r="E676" s="8"/>
      <c r="F676" s="8"/>
      <c r="G676" s="11"/>
      <c r="H676" s="8"/>
      <c r="I676" s="8"/>
      <c r="J676" s="49"/>
      <c r="K676" s="9"/>
    </row>
    <row r="677" spans="2:11" ht="20.149999999999999" customHeight="1" x14ac:dyDescent="0.35">
      <c r="B677" s="8"/>
      <c r="C677" s="8"/>
      <c r="D677" s="8"/>
      <c r="E677" s="8"/>
      <c r="F677" s="8"/>
      <c r="G677" s="11"/>
      <c r="H677" s="8"/>
      <c r="I677" s="8"/>
      <c r="J677" s="49"/>
      <c r="K677" s="9"/>
    </row>
    <row r="678" spans="2:11" ht="20.149999999999999" customHeight="1" x14ac:dyDescent="0.35">
      <c r="B678" s="8"/>
      <c r="C678" s="8"/>
      <c r="D678" s="8"/>
      <c r="E678" s="8"/>
      <c r="F678" s="8"/>
      <c r="G678" s="11"/>
      <c r="H678" s="8"/>
      <c r="I678" s="8"/>
      <c r="J678" s="49"/>
      <c r="K678" s="9"/>
    </row>
    <row r="679" spans="2:11" ht="20.149999999999999" customHeight="1" x14ac:dyDescent="0.35">
      <c r="B679" s="8"/>
      <c r="C679" s="8"/>
      <c r="D679" s="8"/>
      <c r="E679" s="8"/>
      <c r="F679" s="8"/>
      <c r="G679" s="11"/>
      <c r="H679" s="8"/>
      <c r="I679" s="8"/>
      <c r="J679" s="49"/>
      <c r="K679" s="9"/>
    </row>
    <row r="680" spans="2:11" ht="20.149999999999999" customHeight="1" x14ac:dyDescent="0.35">
      <c r="B680" s="8"/>
      <c r="C680" s="8"/>
      <c r="D680" s="8"/>
      <c r="E680" s="8"/>
      <c r="F680" s="8"/>
      <c r="G680" s="11"/>
      <c r="H680" s="8"/>
      <c r="I680" s="8"/>
      <c r="J680" s="49"/>
      <c r="K680" s="9"/>
    </row>
    <row r="681" spans="2:11" ht="20.149999999999999" customHeight="1" x14ac:dyDescent="0.35">
      <c r="B681" s="8"/>
      <c r="C681" s="8"/>
      <c r="D681" s="8"/>
      <c r="E681" s="8"/>
      <c r="F681" s="8"/>
      <c r="G681" s="11"/>
      <c r="H681" s="8"/>
      <c r="I681" s="8"/>
      <c r="J681" s="49"/>
      <c r="K681" s="9"/>
    </row>
    <row r="682" spans="2:11" ht="20.149999999999999" customHeight="1" x14ac:dyDescent="0.35">
      <c r="B682" s="8"/>
      <c r="C682" s="8"/>
      <c r="D682" s="8"/>
      <c r="E682" s="8"/>
      <c r="F682" s="8"/>
      <c r="G682" s="11"/>
      <c r="H682" s="8"/>
      <c r="I682" s="8"/>
      <c r="J682" s="49"/>
      <c r="K682" s="9"/>
    </row>
    <row r="683" spans="2:11" ht="20.149999999999999" customHeight="1" x14ac:dyDescent="0.35">
      <c r="B683" s="8"/>
      <c r="C683" s="8"/>
      <c r="D683" s="8"/>
      <c r="E683" s="8"/>
      <c r="F683" s="8"/>
      <c r="G683" s="11"/>
      <c r="H683" s="8"/>
      <c r="I683" s="8"/>
      <c r="J683" s="49"/>
      <c r="K683" s="9"/>
    </row>
    <row r="684" spans="2:11" ht="20.149999999999999" customHeight="1" x14ac:dyDescent="0.35">
      <c r="B684" s="8"/>
      <c r="C684" s="8"/>
      <c r="D684" s="8"/>
      <c r="E684" s="8"/>
      <c r="F684" s="8"/>
      <c r="G684" s="11"/>
      <c r="H684" s="8"/>
      <c r="I684" s="8"/>
      <c r="J684" s="49"/>
      <c r="K684" s="9"/>
    </row>
    <row r="685" spans="2:11" ht="20.149999999999999" customHeight="1" x14ac:dyDescent="0.35">
      <c r="B685" s="8"/>
      <c r="C685" s="8"/>
      <c r="D685" s="8"/>
      <c r="E685" s="8"/>
      <c r="F685" s="8"/>
      <c r="G685" s="11"/>
      <c r="H685" s="8"/>
      <c r="I685" s="8"/>
      <c r="J685" s="49"/>
      <c r="K685" s="9"/>
    </row>
    <row r="686" spans="2:11" ht="20.149999999999999" customHeight="1" x14ac:dyDescent="0.35">
      <c r="B686" s="8"/>
      <c r="C686" s="8"/>
      <c r="D686" s="8"/>
      <c r="E686" s="8"/>
      <c r="F686" s="8"/>
      <c r="G686" s="11"/>
      <c r="H686" s="8"/>
      <c r="I686" s="8"/>
      <c r="J686" s="49"/>
      <c r="K686" s="9"/>
    </row>
    <row r="687" spans="2:11" ht="20.149999999999999" customHeight="1" x14ac:dyDescent="0.35">
      <c r="B687" s="8"/>
      <c r="C687" s="8"/>
      <c r="D687" s="8"/>
      <c r="E687" s="8"/>
      <c r="F687" s="8"/>
      <c r="G687" s="11"/>
      <c r="H687" s="8"/>
      <c r="I687" s="8"/>
      <c r="J687" s="49"/>
      <c r="K687" s="9"/>
    </row>
    <row r="688" spans="2:11" ht="20.149999999999999" customHeight="1" x14ac:dyDescent="0.35">
      <c r="B688" s="8"/>
      <c r="C688" s="8"/>
      <c r="D688" s="8"/>
      <c r="E688" s="8"/>
      <c r="F688" s="8"/>
      <c r="G688" s="11"/>
      <c r="H688" s="8"/>
      <c r="I688" s="8"/>
      <c r="J688" s="49"/>
      <c r="K688" s="9"/>
    </row>
    <row r="689" spans="2:11" ht="20.149999999999999" customHeight="1" x14ac:dyDescent="0.35">
      <c r="B689" s="8"/>
      <c r="C689" s="8"/>
      <c r="D689" s="8"/>
      <c r="E689" s="8"/>
      <c r="F689" s="8"/>
      <c r="G689" s="11"/>
      <c r="H689" s="8"/>
      <c r="I689" s="8"/>
      <c r="J689" s="49"/>
      <c r="K689" s="9"/>
    </row>
    <row r="690" spans="2:11" ht="20.149999999999999" customHeight="1" x14ac:dyDescent="0.35">
      <c r="B690" s="8"/>
      <c r="C690" s="8"/>
      <c r="D690" s="8"/>
      <c r="E690" s="8"/>
      <c r="F690" s="8"/>
      <c r="G690" s="11"/>
      <c r="H690" s="8"/>
      <c r="I690" s="8"/>
      <c r="J690" s="49"/>
      <c r="K690" s="9"/>
    </row>
    <row r="691" spans="2:11" ht="20.149999999999999" customHeight="1" x14ac:dyDescent="0.35">
      <c r="B691" s="8"/>
      <c r="C691" s="8"/>
      <c r="D691" s="8"/>
      <c r="E691" s="8"/>
      <c r="F691" s="8"/>
      <c r="G691" s="11"/>
      <c r="H691" s="8"/>
      <c r="I691" s="8"/>
      <c r="J691" s="49"/>
      <c r="K691" s="9"/>
    </row>
    <row r="692" spans="2:11" ht="20.149999999999999" customHeight="1" x14ac:dyDescent="0.35">
      <c r="B692" s="8"/>
      <c r="C692" s="8"/>
      <c r="D692" s="8"/>
      <c r="E692" s="8"/>
      <c r="F692" s="8"/>
      <c r="G692" s="11"/>
      <c r="H692" s="8"/>
      <c r="I692" s="8"/>
      <c r="J692" s="49"/>
      <c r="K692" s="9"/>
    </row>
    <row r="693" spans="2:11" ht="20.149999999999999" customHeight="1" x14ac:dyDescent="0.35">
      <c r="B693" s="8"/>
      <c r="C693" s="8"/>
      <c r="D693" s="8"/>
      <c r="E693" s="8"/>
      <c r="F693" s="8"/>
      <c r="G693" s="11"/>
      <c r="H693" s="8"/>
      <c r="I693" s="8"/>
      <c r="J693" s="49"/>
      <c r="K693" s="9"/>
    </row>
    <row r="694" spans="2:11" ht="20.149999999999999" customHeight="1" x14ac:dyDescent="0.35">
      <c r="B694" s="8"/>
      <c r="C694" s="8"/>
      <c r="D694" s="8"/>
      <c r="E694" s="8"/>
      <c r="F694" s="8"/>
      <c r="G694" s="11"/>
      <c r="H694" s="8"/>
      <c r="I694" s="8"/>
      <c r="J694" s="49"/>
      <c r="K694" s="9"/>
    </row>
    <row r="695" spans="2:11" ht="20.149999999999999" customHeight="1" x14ac:dyDescent="0.35">
      <c r="B695" s="8"/>
      <c r="C695" s="8"/>
      <c r="D695" s="8"/>
      <c r="E695" s="8"/>
      <c r="F695" s="8"/>
      <c r="G695" s="11"/>
      <c r="H695" s="8"/>
      <c r="I695" s="8"/>
      <c r="J695" s="49"/>
      <c r="K695" s="9"/>
    </row>
    <row r="696" spans="2:11" ht="20.149999999999999" customHeight="1" x14ac:dyDescent="0.35">
      <c r="B696" s="8"/>
      <c r="C696" s="8"/>
      <c r="D696" s="8"/>
      <c r="E696" s="8"/>
      <c r="F696" s="8"/>
      <c r="G696" s="11"/>
      <c r="H696" s="8"/>
      <c r="I696" s="8"/>
      <c r="J696" s="49"/>
      <c r="K696" s="9"/>
    </row>
    <row r="697" spans="2:11" ht="20.149999999999999" customHeight="1" x14ac:dyDescent="0.35">
      <c r="B697" s="8"/>
      <c r="C697" s="8"/>
      <c r="D697" s="8"/>
      <c r="E697" s="8"/>
      <c r="F697" s="8"/>
      <c r="G697" s="11"/>
      <c r="H697" s="8"/>
      <c r="I697" s="8"/>
      <c r="J697" s="49"/>
      <c r="K697" s="9"/>
    </row>
    <row r="698" spans="2:11" ht="20.149999999999999" customHeight="1" x14ac:dyDescent="0.35">
      <c r="B698" s="8"/>
      <c r="C698" s="8"/>
      <c r="D698" s="8"/>
      <c r="E698" s="8"/>
      <c r="F698" s="8"/>
      <c r="G698" s="11"/>
      <c r="H698" s="8"/>
      <c r="I698" s="8"/>
      <c r="J698" s="49"/>
      <c r="K698" s="9"/>
    </row>
    <row r="699" spans="2:11" ht="20.149999999999999" customHeight="1" x14ac:dyDescent="0.35">
      <c r="B699" s="8"/>
      <c r="C699" s="8"/>
      <c r="D699" s="8"/>
      <c r="E699" s="8"/>
      <c r="F699" s="8"/>
      <c r="G699" s="11"/>
      <c r="H699" s="8"/>
      <c r="I699" s="8"/>
      <c r="J699" s="49"/>
      <c r="K699" s="9"/>
    </row>
    <row r="700" spans="2:11" ht="20.149999999999999" customHeight="1" x14ac:dyDescent="0.35">
      <c r="B700" s="8"/>
      <c r="C700" s="8"/>
      <c r="D700" s="8"/>
      <c r="E700" s="8"/>
      <c r="F700" s="8"/>
      <c r="G700" s="11"/>
      <c r="H700" s="8"/>
      <c r="I700" s="8"/>
      <c r="J700" s="49"/>
      <c r="K700" s="9"/>
    </row>
    <row r="701" spans="2:11" ht="20.149999999999999" customHeight="1" x14ac:dyDescent="0.35">
      <c r="B701" s="8"/>
      <c r="C701" s="8"/>
      <c r="D701" s="8"/>
      <c r="E701" s="8"/>
      <c r="F701" s="8"/>
      <c r="G701" s="11"/>
      <c r="H701" s="8"/>
      <c r="I701" s="8"/>
      <c r="J701" s="49"/>
      <c r="K701" s="9"/>
    </row>
    <row r="702" spans="2:11" ht="20.149999999999999" customHeight="1" x14ac:dyDescent="0.35">
      <c r="B702" s="8"/>
      <c r="C702" s="8"/>
      <c r="D702" s="8"/>
      <c r="E702" s="8"/>
      <c r="F702" s="8"/>
      <c r="G702" s="11"/>
      <c r="H702" s="8"/>
      <c r="I702" s="8"/>
      <c r="J702" s="49"/>
      <c r="K702" s="9"/>
    </row>
    <row r="703" spans="2:11" ht="20.149999999999999" customHeight="1" x14ac:dyDescent="0.35">
      <c r="B703" s="8"/>
      <c r="C703" s="8"/>
      <c r="D703" s="8"/>
      <c r="E703" s="8"/>
      <c r="F703" s="8"/>
      <c r="G703" s="11"/>
      <c r="H703" s="8"/>
      <c r="I703" s="8"/>
      <c r="J703" s="49"/>
      <c r="K703" s="9"/>
    </row>
    <row r="704" spans="2:11" ht="20.149999999999999" customHeight="1" x14ac:dyDescent="0.35">
      <c r="B704" s="8"/>
      <c r="C704" s="8"/>
      <c r="D704" s="8"/>
      <c r="E704" s="8"/>
      <c r="F704" s="8"/>
      <c r="G704" s="11"/>
      <c r="H704" s="8"/>
      <c r="I704" s="8"/>
      <c r="J704" s="49"/>
      <c r="K704" s="9"/>
    </row>
    <row r="705" spans="2:11" ht="20.149999999999999" customHeight="1" x14ac:dyDescent="0.35">
      <c r="B705" s="8"/>
      <c r="C705" s="8"/>
      <c r="D705" s="8"/>
      <c r="E705" s="8"/>
      <c r="F705" s="8"/>
      <c r="G705" s="11"/>
      <c r="H705" s="8"/>
      <c r="I705" s="8"/>
      <c r="J705" s="49"/>
      <c r="K705" s="9"/>
    </row>
    <row r="706" spans="2:11" ht="20.149999999999999" customHeight="1" x14ac:dyDescent="0.35">
      <c r="B706" s="8"/>
      <c r="C706" s="8"/>
      <c r="D706" s="8"/>
      <c r="E706" s="8"/>
      <c r="F706" s="8"/>
      <c r="G706" s="11"/>
      <c r="H706" s="8"/>
      <c r="I706" s="8"/>
      <c r="J706" s="49"/>
      <c r="K706" s="9"/>
    </row>
    <row r="707" spans="2:11" ht="20.149999999999999" customHeight="1" x14ac:dyDescent="0.35">
      <c r="B707" s="8"/>
      <c r="C707" s="8"/>
      <c r="D707" s="8"/>
      <c r="E707" s="8"/>
      <c r="F707" s="8"/>
      <c r="G707" s="11"/>
      <c r="H707" s="8"/>
      <c r="I707" s="8"/>
      <c r="J707" s="49"/>
      <c r="K707" s="9"/>
    </row>
    <row r="708" spans="2:11" ht="20.149999999999999" customHeight="1" x14ac:dyDescent="0.35">
      <c r="B708" s="8"/>
      <c r="C708" s="8"/>
      <c r="D708" s="8"/>
      <c r="E708" s="8"/>
      <c r="F708" s="8"/>
      <c r="G708" s="11"/>
      <c r="H708" s="8"/>
      <c r="I708" s="8"/>
      <c r="J708" s="49"/>
      <c r="K708" s="9"/>
    </row>
    <row r="709" spans="2:11" ht="20.149999999999999" customHeight="1" x14ac:dyDescent="0.35">
      <c r="B709" s="8"/>
      <c r="C709" s="8"/>
      <c r="D709" s="8"/>
      <c r="E709" s="8"/>
      <c r="F709" s="8"/>
      <c r="G709" s="11"/>
      <c r="H709" s="8"/>
      <c r="I709" s="8"/>
      <c r="J709" s="49"/>
      <c r="K709" s="9"/>
    </row>
    <row r="710" spans="2:11" ht="20.149999999999999" customHeight="1" x14ac:dyDescent="0.35">
      <c r="B710" s="8"/>
      <c r="C710" s="8"/>
      <c r="D710" s="8"/>
      <c r="E710" s="8"/>
      <c r="F710" s="8"/>
      <c r="G710" s="11"/>
      <c r="H710" s="8"/>
      <c r="I710" s="8"/>
      <c r="J710" s="49"/>
      <c r="K710" s="9"/>
    </row>
    <row r="711" spans="2:11" ht="20.149999999999999" customHeight="1" x14ac:dyDescent="0.35">
      <c r="B711" s="8"/>
      <c r="C711" s="8"/>
      <c r="D711" s="8"/>
      <c r="E711" s="8"/>
      <c r="F711" s="8"/>
      <c r="G711" s="11"/>
      <c r="H711" s="8"/>
      <c r="I711" s="8"/>
      <c r="J711" s="49"/>
      <c r="K711" s="9"/>
    </row>
    <row r="712" spans="2:11" ht="20.149999999999999" customHeight="1" x14ac:dyDescent="0.35">
      <c r="B712" s="8"/>
      <c r="C712" s="8"/>
      <c r="D712" s="8"/>
      <c r="E712" s="8"/>
      <c r="F712" s="8"/>
      <c r="G712" s="11"/>
      <c r="H712" s="8"/>
      <c r="I712" s="8"/>
      <c r="J712" s="49"/>
      <c r="K712" s="9"/>
    </row>
    <row r="713" spans="2:11" ht="20.149999999999999" customHeight="1" x14ac:dyDescent="0.35">
      <c r="B713" s="8"/>
      <c r="C713" s="8"/>
      <c r="D713" s="8"/>
      <c r="E713" s="8"/>
      <c r="F713" s="8"/>
      <c r="G713" s="11"/>
      <c r="H713" s="8"/>
      <c r="I713" s="8"/>
      <c r="J713" s="49"/>
      <c r="K713" s="9"/>
    </row>
    <row r="714" spans="2:11" ht="20.149999999999999" customHeight="1" x14ac:dyDescent="0.35">
      <c r="B714" s="8"/>
      <c r="C714" s="8"/>
      <c r="D714" s="8"/>
      <c r="E714" s="8"/>
      <c r="F714" s="8"/>
      <c r="G714" s="11"/>
      <c r="H714" s="8"/>
      <c r="I714" s="8"/>
      <c r="J714" s="49"/>
      <c r="K714" s="9"/>
    </row>
    <row r="715" spans="2:11" ht="20.149999999999999" customHeight="1" x14ac:dyDescent="0.35">
      <c r="B715" s="8"/>
      <c r="C715" s="8"/>
      <c r="D715" s="8"/>
      <c r="E715" s="8"/>
      <c r="F715" s="8"/>
      <c r="G715" s="11"/>
      <c r="H715" s="8"/>
      <c r="I715" s="8"/>
      <c r="J715" s="49"/>
      <c r="K715" s="9"/>
    </row>
    <row r="716" spans="2:11" ht="20.149999999999999" customHeight="1" x14ac:dyDescent="0.35">
      <c r="B716" s="8"/>
      <c r="C716" s="8"/>
      <c r="D716" s="8"/>
      <c r="E716" s="8"/>
      <c r="F716" s="8"/>
      <c r="G716" s="11"/>
      <c r="H716" s="8"/>
      <c r="I716" s="8"/>
      <c r="J716" s="49"/>
      <c r="K716" s="9"/>
    </row>
    <row r="717" spans="2:11" ht="20.149999999999999" customHeight="1" x14ac:dyDescent="0.35">
      <c r="B717" s="8"/>
      <c r="C717" s="8"/>
      <c r="D717" s="8"/>
      <c r="E717" s="8"/>
      <c r="F717" s="8"/>
      <c r="G717" s="11"/>
      <c r="H717" s="8"/>
      <c r="I717" s="8"/>
      <c r="J717" s="49"/>
      <c r="K717" s="9"/>
    </row>
    <row r="718" spans="2:11" ht="20.149999999999999" customHeight="1" x14ac:dyDescent="0.35">
      <c r="B718" s="8"/>
      <c r="C718" s="8"/>
      <c r="D718" s="8"/>
      <c r="E718" s="8"/>
      <c r="F718" s="8"/>
      <c r="G718" s="11"/>
      <c r="H718" s="8"/>
      <c r="I718" s="8"/>
      <c r="J718" s="49"/>
      <c r="K718" s="9"/>
    </row>
    <row r="719" spans="2:11" ht="20.149999999999999" customHeight="1" x14ac:dyDescent="0.35">
      <c r="B719" s="8"/>
      <c r="C719" s="8"/>
      <c r="D719" s="8"/>
      <c r="E719" s="8"/>
      <c r="F719" s="8"/>
      <c r="G719" s="11"/>
      <c r="H719" s="8"/>
      <c r="I719" s="8"/>
      <c r="J719" s="49"/>
      <c r="K719" s="9"/>
    </row>
    <row r="720" spans="2:11" ht="20.149999999999999" customHeight="1" x14ac:dyDescent="0.35">
      <c r="B720" s="8"/>
      <c r="C720" s="8"/>
      <c r="D720" s="8"/>
      <c r="E720" s="8"/>
      <c r="F720" s="8"/>
      <c r="G720" s="11"/>
      <c r="H720" s="8"/>
      <c r="I720" s="8"/>
      <c r="J720" s="49"/>
      <c r="K720" s="9"/>
    </row>
    <row r="721" spans="2:11" ht="20.149999999999999" customHeight="1" x14ac:dyDescent="0.35">
      <c r="B721" s="8"/>
      <c r="C721" s="8"/>
      <c r="D721" s="8"/>
      <c r="E721" s="8"/>
      <c r="F721" s="8"/>
      <c r="G721" s="11"/>
      <c r="H721" s="8"/>
      <c r="I721" s="8"/>
      <c r="J721" s="49"/>
      <c r="K721" s="9"/>
    </row>
    <row r="722" spans="2:11" ht="20.149999999999999" customHeight="1" x14ac:dyDescent="0.35">
      <c r="B722" s="8"/>
      <c r="C722" s="8"/>
      <c r="D722" s="8"/>
      <c r="E722" s="8"/>
      <c r="F722" s="8"/>
      <c r="G722" s="11"/>
      <c r="H722" s="8"/>
      <c r="I722" s="8"/>
      <c r="J722" s="49"/>
      <c r="K722" s="9"/>
    </row>
    <row r="723" spans="2:11" ht="20.149999999999999" customHeight="1" x14ac:dyDescent="0.35">
      <c r="B723" s="8"/>
      <c r="C723" s="8"/>
      <c r="D723" s="8"/>
      <c r="E723" s="8"/>
      <c r="F723" s="8"/>
      <c r="G723" s="11"/>
      <c r="H723" s="8"/>
      <c r="I723" s="8"/>
      <c r="J723" s="49"/>
      <c r="K723" s="9"/>
    </row>
    <row r="724" spans="2:11" ht="20.149999999999999" customHeight="1" x14ac:dyDescent="0.35">
      <c r="B724" s="8"/>
      <c r="C724" s="8"/>
      <c r="D724" s="8"/>
      <c r="E724" s="8"/>
      <c r="F724" s="8"/>
      <c r="G724" s="11"/>
      <c r="H724" s="8"/>
      <c r="I724" s="8"/>
      <c r="J724" s="49"/>
      <c r="K724" s="9"/>
    </row>
    <row r="725" spans="2:11" ht="20.149999999999999" customHeight="1" x14ac:dyDescent="0.35">
      <c r="B725" s="8"/>
      <c r="C725" s="8"/>
      <c r="D725" s="8"/>
      <c r="E725" s="8"/>
      <c r="F725" s="8"/>
      <c r="G725" s="11"/>
      <c r="H725" s="8"/>
      <c r="I725" s="8"/>
      <c r="J725" s="49"/>
      <c r="K725" s="9"/>
    </row>
    <row r="726" spans="2:11" ht="20.149999999999999" customHeight="1" x14ac:dyDescent="0.35">
      <c r="B726" s="8"/>
      <c r="C726" s="8"/>
      <c r="D726" s="8"/>
      <c r="E726" s="8"/>
      <c r="F726" s="8"/>
      <c r="G726" s="11"/>
      <c r="H726" s="8"/>
      <c r="I726" s="8"/>
      <c r="J726" s="49"/>
      <c r="K726" s="9"/>
    </row>
    <row r="727" spans="2:11" ht="20.149999999999999" customHeight="1" x14ac:dyDescent="0.35">
      <c r="B727" s="8"/>
      <c r="C727" s="8"/>
      <c r="D727" s="8"/>
      <c r="E727" s="8"/>
      <c r="F727" s="8"/>
      <c r="G727" s="11"/>
      <c r="H727" s="8"/>
      <c r="I727" s="8"/>
      <c r="J727" s="49"/>
      <c r="K727" s="9"/>
    </row>
    <row r="728" spans="2:11" ht="20.149999999999999" customHeight="1" x14ac:dyDescent="0.35">
      <c r="B728" s="8"/>
      <c r="C728" s="8"/>
      <c r="D728" s="8"/>
      <c r="E728" s="8"/>
      <c r="F728" s="8"/>
      <c r="G728" s="11"/>
      <c r="H728" s="8"/>
      <c r="I728" s="8"/>
      <c r="J728" s="49"/>
      <c r="K728" s="9"/>
    </row>
    <row r="729" spans="2:11" ht="20.149999999999999" customHeight="1" x14ac:dyDescent="0.35">
      <c r="B729" s="8"/>
      <c r="C729" s="8"/>
      <c r="D729" s="8"/>
      <c r="E729" s="8"/>
      <c r="F729" s="8"/>
      <c r="G729" s="11"/>
      <c r="H729" s="8"/>
      <c r="I729" s="8"/>
      <c r="J729" s="49"/>
      <c r="K729" s="9"/>
    </row>
    <row r="730" spans="2:11" ht="20.149999999999999" customHeight="1" x14ac:dyDescent="0.35">
      <c r="B730" s="8"/>
      <c r="C730" s="8"/>
      <c r="D730" s="8"/>
      <c r="E730" s="8"/>
      <c r="F730" s="8"/>
      <c r="G730" s="11"/>
      <c r="H730" s="8"/>
      <c r="I730" s="8"/>
      <c r="J730" s="49"/>
      <c r="K730" s="9"/>
    </row>
    <row r="731" spans="2:11" ht="20.149999999999999" customHeight="1" x14ac:dyDescent="0.35">
      <c r="B731" s="8"/>
      <c r="C731" s="8"/>
      <c r="D731" s="8"/>
      <c r="E731" s="8"/>
      <c r="F731" s="8"/>
      <c r="G731" s="11"/>
      <c r="H731" s="8"/>
      <c r="I731" s="8"/>
      <c r="J731" s="49"/>
      <c r="K731" s="9"/>
    </row>
    <row r="732" spans="2:11" ht="20.149999999999999" customHeight="1" x14ac:dyDescent="0.35">
      <c r="B732" s="8"/>
      <c r="C732" s="8"/>
      <c r="D732" s="8"/>
      <c r="E732" s="8"/>
      <c r="F732" s="8"/>
      <c r="G732" s="11"/>
      <c r="H732" s="8"/>
      <c r="I732" s="8"/>
      <c r="J732" s="49"/>
      <c r="K732" s="9"/>
    </row>
    <row r="733" spans="2:11" ht="20.149999999999999" customHeight="1" x14ac:dyDescent="0.35">
      <c r="B733" s="8"/>
      <c r="C733" s="8"/>
      <c r="D733" s="8"/>
      <c r="E733" s="8"/>
      <c r="F733" s="8"/>
      <c r="G733" s="11"/>
      <c r="H733" s="8"/>
      <c r="I733" s="8"/>
      <c r="J733" s="49"/>
      <c r="K733" s="9"/>
    </row>
    <row r="734" spans="2:11" ht="20.149999999999999" customHeight="1" x14ac:dyDescent="0.35">
      <c r="B734" s="8"/>
      <c r="C734" s="8"/>
      <c r="D734" s="8"/>
      <c r="E734" s="8"/>
      <c r="F734" s="8"/>
      <c r="G734" s="11"/>
      <c r="H734" s="8"/>
      <c r="I734" s="8"/>
      <c r="J734" s="49"/>
      <c r="K734" s="9"/>
    </row>
    <row r="735" spans="2:11" ht="20.149999999999999" customHeight="1" x14ac:dyDescent="0.35">
      <c r="B735" s="8"/>
      <c r="C735" s="8"/>
      <c r="D735" s="8"/>
      <c r="E735" s="8"/>
      <c r="F735" s="8"/>
      <c r="G735" s="11"/>
      <c r="H735" s="8"/>
      <c r="I735" s="8"/>
      <c r="J735" s="49"/>
      <c r="K735" s="9"/>
    </row>
    <row r="736" spans="2:11" ht="20.149999999999999" customHeight="1" x14ac:dyDescent="0.35">
      <c r="B736" s="8"/>
      <c r="C736" s="8"/>
      <c r="D736" s="8"/>
      <c r="E736" s="8"/>
      <c r="F736" s="8"/>
      <c r="G736" s="11"/>
      <c r="H736" s="8"/>
      <c r="I736" s="8"/>
      <c r="J736" s="49"/>
      <c r="K736" s="9"/>
    </row>
    <row r="737" spans="2:11" ht="20.149999999999999" customHeight="1" x14ac:dyDescent="0.35">
      <c r="B737" s="8"/>
      <c r="C737" s="8"/>
      <c r="D737" s="8"/>
      <c r="E737" s="8"/>
      <c r="F737" s="8"/>
      <c r="G737" s="11"/>
      <c r="H737" s="8"/>
      <c r="I737" s="8"/>
      <c r="J737" s="49"/>
      <c r="K737" s="9"/>
    </row>
    <row r="738" spans="2:11" ht="20.149999999999999" customHeight="1" x14ac:dyDescent="0.35">
      <c r="B738" s="8"/>
      <c r="C738" s="8"/>
      <c r="D738" s="8"/>
      <c r="E738" s="8"/>
      <c r="F738" s="8"/>
      <c r="G738" s="11"/>
      <c r="H738" s="8"/>
      <c r="I738" s="8"/>
      <c r="J738" s="49"/>
      <c r="K738" s="9"/>
    </row>
    <row r="739" spans="2:11" ht="20.149999999999999" customHeight="1" x14ac:dyDescent="0.35">
      <c r="B739" s="8"/>
      <c r="C739" s="8"/>
      <c r="D739" s="8"/>
      <c r="E739" s="8"/>
      <c r="F739" s="8"/>
      <c r="G739" s="11"/>
      <c r="H739" s="8"/>
      <c r="I739" s="8"/>
      <c r="J739" s="49"/>
      <c r="K739" s="9"/>
    </row>
    <row r="740" spans="2:11" ht="20.149999999999999" customHeight="1" x14ac:dyDescent="0.35">
      <c r="B740" s="8"/>
      <c r="C740" s="8"/>
      <c r="D740" s="8"/>
      <c r="E740" s="8"/>
      <c r="F740" s="8"/>
      <c r="G740" s="11"/>
      <c r="H740" s="8"/>
      <c r="I740" s="8"/>
      <c r="J740" s="49"/>
      <c r="K740" s="9"/>
    </row>
    <row r="741" spans="2:11" ht="20.149999999999999" customHeight="1" x14ac:dyDescent="0.35">
      <c r="B741" s="8"/>
      <c r="C741" s="8"/>
      <c r="D741" s="8"/>
      <c r="E741" s="8"/>
      <c r="F741" s="8"/>
      <c r="G741" s="11"/>
      <c r="H741" s="8"/>
      <c r="I741" s="8"/>
      <c r="J741" s="49"/>
      <c r="K741" s="9"/>
    </row>
    <row r="742" spans="2:11" ht="20.149999999999999" customHeight="1" x14ac:dyDescent="0.35">
      <c r="B742" s="8"/>
      <c r="C742" s="8"/>
      <c r="D742" s="8"/>
      <c r="E742" s="8"/>
      <c r="F742" s="8"/>
      <c r="G742" s="11"/>
      <c r="H742" s="8"/>
      <c r="I742" s="8"/>
      <c r="J742" s="49"/>
      <c r="K742" s="9"/>
    </row>
    <row r="743" spans="2:11" ht="20.149999999999999" customHeight="1" x14ac:dyDescent="0.35">
      <c r="B743" s="8"/>
      <c r="C743" s="8"/>
      <c r="D743" s="8"/>
      <c r="E743" s="8"/>
      <c r="F743" s="8"/>
      <c r="G743" s="11"/>
      <c r="H743" s="8"/>
      <c r="I743" s="8"/>
      <c r="J743" s="49"/>
      <c r="K743" s="9"/>
    </row>
    <row r="744" spans="2:11" ht="20.149999999999999" customHeight="1" x14ac:dyDescent="0.35">
      <c r="B744" s="8"/>
      <c r="C744" s="8"/>
      <c r="D744" s="8"/>
      <c r="E744" s="8"/>
      <c r="F744" s="8"/>
      <c r="G744" s="11"/>
      <c r="H744" s="8"/>
      <c r="I744" s="8"/>
      <c r="J744" s="49"/>
      <c r="K744" s="9"/>
    </row>
    <row r="745" spans="2:11" ht="20.149999999999999" customHeight="1" x14ac:dyDescent="0.35">
      <c r="B745" s="8"/>
      <c r="C745" s="8"/>
      <c r="D745" s="8"/>
      <c r="E745" s="8"/>
      <c r="F745" s="8"/>
      <c r="G745" s="11"/>
      <c r="H745" s="8"/>
      <c r="I745" s="8"/>
      <c r="J745" s="49"/>
      <c r="K745" s="9"/>
    </row>
    <row r="746" spans="2:11" ht="20.149999999999999" customHeight="1" x14ac:dyDescent="0.35">
      <c r="B746" s="8"/>
      <c r="C746" s="8"/>
      <c r="D746" s="8"/>
      <c r="E746" s="8"/>
      <c r="F746" s="8"/>
      <c r="G746" s="11"/>
      <c r="H746" s="8"/>
      <c r="I746" s="8"/>
      <c r="J746" s="49"/>
      <c r="K746" s="9"/>
    </row>
    <row r="747" spans="2:11" ht="20.149999999999999" customHeight="1" x14ac:dyDescent="0.35">
      <c r="B747" s="8"/>
      <c r="C747" s="8"/>
      <c r="D747" s="8"/>
      <c r="E747" s="8"/>
      <c r="F747" s="8"/>
      <c r="G747" s="11"/>
      <c r="H747" s="8"/>
      <c r="I747" s="8"/>
      <c r="J747" s="49"/>
      <c r="K747" s="9"/>
    </row>
  </sheetData>
  <autoFilter ref="B8:K471" xr:uid="{00000000-0001-0000-0000-000000000000}"/>
  <mergeCells count="243">
    <mergeCell ref="B452:B458"/>
    <mergeCell ref="C452:C458"/>
    <mergeCell ref="D452:D458"/>
    <mergeCell ref="B459:B464"/>
    <mergeCell ref="C459:C464"/>
    <mergeCell ref="D459:D464"/>
    <mergeCell ref="B465:B471"/>
    <mergeCell ref="C465:C471"/>
    <mergeCell ref="D465:D471"/>
    <mergeCell ref="AB1:AE1"/>
    <mergeCell ref="K183:K188"/>
    <mergeCell ref="K14:K18"/>
    <mergeCell ref="K332:K338"/>
    <mergeCell ref="K110:K116"/>
    <mergeCell ref="K117:K122"/>
    <mergeCell ref="K65:K69"/>
    <mergeCell ref="T2:T6"/>
    <mergeCell ref="U2:W6"/>
    <mergeCell ref="K195:K200"/>
    <mergeCell ref="K2:K6"/>
    <mergeCell ref="K81:K85"/>
    <mergeCell ref="K104:K109"/>
    <mergeCell ref="K60:K64"/>
    <mergeCell ref="K86:K90"/>
    <mergeCell ref="C332:C338"/>
    <mergeCell ref="D332:D338"/>
    <mergeCell ref="D117:D122"/>
    <mergeCell ref="D123:D130"/>
    <mergeCell ref="D131:D136"/>
    <mergeCell ref="D137:D146"/>
    <mergeCell ref="D147:D152"/>
    <mergeCell ref="D153:D158"/>
    <mergeCell ref="D159:D164"/>
    <mergeCell ref="D165:D170"/>
    <mergeCell ref="D171:D176"/>
    <mergeCell ref="D177:D182"/>
    <mergeCell ref="D183:D188"/>
    <mergeCell ref="D189:D194"/>
    <mergeCell ref="D195:D200"/>
    <mergeCell ref="D201:D207"/>
    <mergeCell ref="D290:D295"/>
    <mergeCell ref="D296:D302"/>
    <mergeCell ref="D303:D309"/>
    <mergeCell ref="D310:D316"/>
    <mergeCell ref="D208:D213"/>
    <mergeCell ref="D214:D219"/>
    <mergeCell ref="D324:D331"/>
    <mergeCell ref="D283:D289"/>
    <mergeCell ref="C275:C282"/>
    <mergeCell ref="C283:C289"/>
    <mergeCell ref="C290:C295"/>
    <mergeCell ref="C159:C164"/>
    <mergeCell ref="D220:D225"/>
    <mergeCell ref="D226:D231"/>
    <mergeCell ref="D232:D238"/>
    <mergeCell ref="D239:D244"/>
    <mergeCell ref="D245:D250"/>
    <mergeCell ref="D251:D257"/>
    <mergeCell ref="D258:D264"/>
    <mergeCell ref="D265:D274"/>
    <mergeCell ref="D275:D282"/>
    <mergeCell ref="C208:C213"/>
    <mergeCell ref="C214:C219"/>
    <mergeCell ref="C303:C309"/>
    <mergeCell ref="C317:C323"/>
    <mergeCell ref="C324:C331"/>
    <mergeCell ref="K24:K28"/>
    <mergeCell ref="K91:K96"/>
    <mergeCell ref="D39:D44"/>
    <mergeCell ref="D45:D49"/>
    <mergeCell ref="D50:D54"/>
    <mergeCell ref="D55:D59"/>
    <mergeCell ref="D60:D64"/>
    <mergeCell ref="D65:D69"/>
    <mergeCell ref="D70:D75"/>
    <mergeCell ref="D76:D80"/>
    <mergeCell ref="D81:D85"/>
    <mergeCell ref="D86:D90"/>
    <mergeCell ref="D91:D96"/>
    <mergeCell ref="C117:C122"/>
    <mergeCell ref="C123:C130"/>
    <mergeCell ref="C131:C136"/>
    <mergeCell ref="C310:C316"/>
    <mergeCell ref="C220:C225"/>
    <mergeCell ref="C226:C231"/>
    <mergeCell ref="C258:C264"/>
    <mergeCell ref="C265:C274"/>
    <mergeCell ref="B55:B59"/>
    <mergeCell ref="B60:B64"/>
    <mergeCell ref="B65:B69"/>
    <mergeCell ref="B70:B75"/>
    <mergeCell ref="B76:B80"/>
    <mergeCell ref="B81:B85"/>
    <mergeCell ref="C9:C13"/>
    <mergeCell ref="C14:C18"/>
    <mergeCell ref="C19:C23"/>
    <mergeCell ref="C24:C28"/>
    <mergeCell ref="C29:C33"/>
    <mergeCell ref="C34:C38"/>
    <mergeCell ref="B14:B18"/>
    <mergeCell ref="B19:B23"/>
    <mergeCell ref="B24:B28"/>
    <mergeCell ref="B29:B33"/>
    <mergeCell ref="B34:B38"/>
    <mergeCell ref="B39:B44"/>
    <mergeCell ref="B45:B49"/>
    <mergeCell ref="B50:B54"/>
    <mergeCell ref="C39:C44"/>
    <mergeCell ref="C45:C49"/>
    <mergeCell ref="C50:C54"/>
    <mergeCell ref="D9:D13"/>
    <mergeCell ref="D14:D18"/>
    <mergeCell ref="D19:D23"/>
    <mergeCell ref="D24:D28"/>
    <mergeCell ref="D29:D33"/>
    <mergeCell ref="D34:D38"/>
    <mergeCell ref="C165:C170"/>
    <mergeCell ref="C171:C176"/>
    <mergeCell ref="C177:C182"/>
    <mergeCell ref="C137:C146"/>
    <mergeCell ref="C55:C59"/>
    <mergeCell ref="C60:C64"/>
    <mergeCell ref="C65:C69"/>
    <mergeCell ref="C70:C75"/>
    <mergeCell ref="C76:C80"/>
    <mergeCell ref="C81:C85"/>
    <mergeCell ref="C86:C90"/>
    <mergeCell ref="C91:C96"/>
    <mergeCell ref="C97:C103"/>
    <mergeCell ref="C104:C109"/>
    <mergeCell ref="C110:C116"/>
    <mergeCell ref="D97:D103"/>
    <mergeCell ref="D104:D109"/>
    <mergeCell ref="D110:D116"/>
    <mergeCell ref="B2:D3"/>
    <mergeCell ref="C4:D6"/>
    <mergeCell ref="B4:B6"/>
    <mergeCell ref="E2:H3"/>
    <mergeCell ref="E4:E6"/>
    <mergeCell ref="F4:G6"/>
    <mergeCell ref="H4:H6"/>
    <mergeCell ref="B220:B225"/>
    <mergeCell ref="B165:B170"/>
    <mergeCell ref="B171:B176"/>
    <mergeCell ref="B177:B182"/>
    <mergeCell ref="B183:B188"/>
    <mergeCell ref="B189:B194"/>
    <mergeCell ref="B195:B200"/>
    <mergeCell ref="B201:B207"/>
    <mergeCell ref="B208:B213"/>
    <mergeCell ref="B214:B219"/>
    <mergeCell ref="B104:B109"/>
    <mergeCell ref="B110:B116"/>
    <mergeCell ref="B117:B122"/>
    <mergeCell ref="B123:B130"/>
    <mergeCell ref="B131:B136"/>
    <mergeCell ref="B137:B146"/>
    <mergeCell ref="B9:B13"/>
    <mergeCell ref="D339:D346"/>
    <mergeCell ref="B258:B264"/>
    <mergeCell ref="B265:B274"/>
    <mergeCell ref="B432:B437"/>
    <mergeCell ref="C432:C437"/>
    <mergeCell ref="D432:D437"/>
    <mergeCell ref="B400:B405"/>
    <mergeCell ref="C400:C405"/>
    <mergeCell ref="D400:D405"/>
    <mergeCell ref="C406:C415"/>
    <mergeCell ref="D406:D415"/>
    <mergeCell ref="B416:B424"/>
    <mergeCell ref="C416:C424"/>
    <mergeCell ref="D416:D424"/>
    <mergeCell ref="B406:B415"/>
    <mergeCell ref="B425:B431"/>
    <mergeCell ref="C425:C431"/>
    <mergeCell ref="D425:D431"/>
    <mergeCell ref="B290:B295"/>
    <mergeCell ref="C296:C302"/>
    <mergeCell ref="B275:B282"/>
    <mergeCell ref="B283:B289"/>
    <mergeCell ref="B310:B316"/>
    <mergeCell ref="B317:B323"/>
    <mergeCell ref="C339:C346"/>
    <mergeCell ref="B86:B90"/>
    <mergeCell ref="B91:B96"/>
    <mergeCell ref="B97:B103"/>
    <mergeCell ref="B226:B231"/>
    <mergeCell ref="B232:B238"/>
    <mergeCell ref="B239:B244"/>
    <mergeCell ref="B245:B250"/>
    <mergeCell ref="B251:B257"/>
    <mergeCell ref="B296:B302"/>
    <mergeCell ref="C232:C238"/>
    <mergeCell ref="C239:C244"/>
    <mergeCell ref="C245:C250"/>
    <mergeCell ref="C251:C257"/>
    <mergeCell ref="B147:B152"/>
    <mergeCell ref="B153:B158"/>
    <mergeCell ref="B159:B164"/>
    <mergeCell ref="C183:C188"/>
    <mergeCell ref="C189:C194"/>
    <mergeCell ref="C195:C200"/>
    <mergeCell ref="C201:C207"/>
    <mergeCell ref="B303:B309"/>
    <mergeCell ref="C147:C152"/>
    <mergeCell ref="C153:C158"/>
    <mergeCell ref="C347:C352"/>
    <mergeCell ref="C353:C361"/>
    <mergeCell ref="B394:B399"/>
    <mergeCell ref="C394:C399"/>
    <mergeCell ref="D394:D399"/>
    <mergeCell ref="C388:C393"/>
    <mergeCell ref="D388:D393"/>
    <mergeCell ref="B347:B352"/>
    <mergeCell ref="D369:D375"/>
    <mergeCell ref="B362:B368"/>
    <mergeCell ref="B369:B375"/>
    <mergeCell ref="C369:C375"/>
    <mergeCell ref="D376:D381"/>
    <mergeCell ref="AM1:AP1"/>
    <mergeCell ref="AJ25:AK25"/>
    <mergeCell ref="B438:B445"/>
    <mergeCell ref="C438:C445"/>
    <mergeCell ref="D438:D445"/>
    <mergeCell ref="B446:B451"/>
    <mergeCell ref="C446:C451"/>
    <mergeCell ref="D446:D451"/>
    <mergeCell ref="K339:K346"/>
    <mergeCell ref="D317:D323"/>
    <mergeCell ref="B324:B331"/>
    <mergeCell ref="B332:B338"/>
    <mergeCell ref="C362:C368"/>
    <mergeCell ref="B353:B361"/>
    <mergeCell ref="B388:B393"/>
    <mergeCell ref="B376:B381"/>
    <mergeCell ref="C376:C381"/>
    <mergeCell ref="D347:D352"/>
    <mergeCell ref="D353:D361"/>
    <mergeCell ref="D362:D368"/>
    <mergeCell ref="B382:B387"/>
    <mergeCell ref="C382:C387"/>
    <mergeCell ref="D382:D387"/>
    <mergeCell ref="B339:B346"/>
  </mergeCells>
  <phoneticPr fontId="2" type="noConversion"/>
  <conditionalFormatting sqref="F7:F1048576">
    <cfRule type="containsText" dxfId="3" priority="2" operator="containsText" text="No Need">
      <formula>NOT(ISERROR(SEARCH("No Need",F7)))</formula>
    </cfRule>
    <cfRule type="containsText" dxfId="2" priority="4" operator="containsText" text="Done">
      <formula>NOT(ISERROR(SEARCH("Done",F7)))</formula>
    </cfRule>
    <cfRule type="containsText" dxfId="1" priority="5" operator="containsText" text="Process">
      <formula>NOT(ISERROR(SEARCH("Process",F7)))</formula>
    </cfRule>
    <cfRule type="containsText" dxfId="0" priority="6" operator="containsText" text="No">
      <formula>NOT(ISERROR(SEARCH("No",F7)))</formula>
    </cfRule>
  </conditionalFormatting>
  <dataValidations count="2">
    <dataValidation type="list" allowBlank="1" showInputMessage="1" showErrorMessage="1" sqref="F7:F8 F472:F1048576" xr:uid="{4A5273A3-6589-4683-88CC-9C97744168AD}">
      <formula1>"Not Installed, In Process, Done, Failed"</formula1>
    </dataValidation>
    <dataValidation type="list" allowBlank="1" showInputMessage="1" showErrorMessage="1" sqref="F9:F471" xr:uid="{51BF8405-1ABD-42A0-AF24-AEC2B2C47709}">
      <formula1>"Not Installed, In Process, Done, No Need"</formula1>
    </dataValidation>
  </dataValidations>
  <hyperlinks>
    <hyperlink ref="K24" r:id="rId1" xr:uid="{A9C8A620-0A8C-4C94-B3E4-E34EB68E3106}"/>
  </hyperlinks>
  <pageMargins left="0.7" right="0.7" top="0.75" bottom="0.75" header="0.3" footer="0.3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170"/>
  <sheetViews>
    <sheetView tabSelected="1" topLeftCell="D1" workbookViewId="0">
      <selection activeCell="J164" sqref="J164"/>
    </sheetView>
  </sheetViews>
  <sheetFormatPr defaultRowHeight="25" customHeight="1" x14ac:dyDescent="0.35"/>
  <cols>
    <col min="1" max="1" width="24.54296875" style="8" customWidth="1"/>
    <col min="2" max="2" width="17.90625" style="8" customWidth="1"/>
    <col min="3" max="3" width="19.54296875" style="8" customWidth="1"/>
    <col min="4" max="4" width="19.36328125" style="8" customWidth="1"/>
    <col min="5" max="5" width="18.453125" style="8" customWidth="1"/>
    <col min="6" max="6" width="17.90625" style="8" customWidth="1"/>
    <col min="7" max="7" width="14.54296875" style="8" customWidth="1"/>
    <col min="8" max="8" width="13.36328125" style="8" bestFit="1" customWidth="1"/>
    <col min="9" max="9" width="8.7265625" style="8"/>
    <col min="10" max="10" width="10.7265625" style="8" bestFit="1" customWidth="1"/>
    <col min="11" max="13" width="8.7265625" style="8"/>
    <col min="14" max="14" width="8.7265625" style="8" customWidth="1"/>
    <col min="15" max="16" width="8.7265625" style="8"/>
    <col min="17" max="17" width="10.26953125" style="8" customWidth="1"/>
    <col min="18" max="18" width="8.7265625" style="8"/>
    <col min="19" max="19" width="14.81640625" style="8" customWidth="1"/>
    <col min="20" max="16384" width="8.7265625" style="8"/>
  </cols>
  <sheetData>
    <row r="2" spans="1:23" s="19" customFormat="1" ht="25" customHeight="1" x14ac:dyDescent="0.35">
      <c r="A2" s="20" t="s">
        <v>97</v>
      </c>
      <c r="B2" s="20" t="s">
        <v>277</v>
      </c>
      <c r="C2" s="23" t="s">
        <v>98</v>
      </c>
      <c r="D2" s="23" t="s">
        <v>107</v>
      </c>
      <c r="E2" s="23" t="s">
        <v>111</v>
      </c>
      <c r="F2" s="23" t="s">
        <v>108</v>
      </c>
      <c r="G2" s="20" t="s">
        <v>300</v>
      </c>
      <c r="I2" s="19" t="s">
        <v>102</v>
      </c>
      <c r="J2" s="19" t="s">
        <v>247</v>
      </c>
      <c r="K2" s="19" t="s">
        <v>248</v>
      </c>
      <c r="N2" s="107" t="s">
        <v>182</v>
      </c>
      <c r="O2" s="112" t="s">
        <v>189</v>
      </c>
      <c r="R2" s="19" t="s">
        <v>191</v>
      </c>
      <c r="T2" s="19" t="s">
        <v>193</v>
      </c>
      <c r="U2" s="19" t="s">
        <v>194</v>
      </c>
      <c r="V2" s="19" t="s">
        <v>195</v>
      </c>
      <c r="W2" s="19" t="s">
        <v>111</v>
      </c>
    </row>
    <row r="3" spans="1:23" ht="25" customHeight="1" x14ac:dyDescent="0.35">
      <c r="A3" s="21" t="s">
        <v>13</v>
      </c>
      <c r="B3" s="137" t="s">
        <v>278</v>
      </c>
      <c r="C3" s="21">
        <f>COUNTIFS(Tracker!E:E,A3,Tracker!F:F,"Done")</f>
        <v>48</v>
      </c>
      <c r="D3" s="21">
        <f>COUNTIFS(Tracker!E:E,A3,Tracker!F:F,"In Process")</f>
        <v>1</v>
      </c>
      <c r="E3" s="21">
        <f>COUNTIF(Tracker!E:E,A3)-COUNTIFS(Tracker!E:E,A3,Tracker!F:F,"No need")</f>
        <v>67</v>
      </c>
      <c r="F3" s="24">
        <f>(C3+D3)/E3</f>
        <v>0.73134328358208955</v>
      </c>
      <c r="G3" s="28" t="b">
        <v>1</v>
      </c>
      <c r="I3" s="19" t="s">
        <v>199</v>
      </c>
      <c r="J3" s="116">
        <f>R18</f>
        <v>0.64709378138821827</v>
      </c>
      <c r="K3" s="128">
        <v>0.8</v>
      </c>
      <c r="M3" s="19"/>
      <c r="N3" s="108">
        <f>C3*(Tracker!AC3+Tracker!AD3)</f>
        <v>681600</v>
      </c>
      <c r="O3" s="113">
        <f>C3*(Tracker!AE3)</f>
        <v>3072</v>
      </c>
      <c r="Q3" s="108" t="str">
        <f>A3</f>
        <v>MGPS</v>
      </c>
      <c r="R3" s="114">
        <f t="shared" ref="R3:R17" si="0">F3</f>
        <v>0.73134328358208955</v>
      </c>
      <c r="S3" s="8" t="s">
        <v>197</v>
      </c>
      <c r="T3" s="8">
        <f>SUM(C3:C17)</f>
        <v>218</v>
      </c>
      <c r="U3" s="8">
        <f>SUM(D3:D17)</f>
        <v>26</v>
      </c>
      <c r="V3" s="8">
        <f>W4-T3-U3</f>
        <v>306</v>
      </c>
      <c r="W3" s="8">
        <v>0</v>
      </c>
    </row>
    <row r="4" spans="1:23" ht="25" customHeight="1" x14ac:dyDescent="0.35">
      <c r="A4" s="22" t="s">
        <v>109</v>
      </c>
      <c r="B4" s="109" t="s">
        <v>278</v>
      </c>
      <c r="C4" s="22">
        <f>COUNTIFS(Tracker!E:E,A4,Tracker!F:F,"Done")</f>
        <v>17</v>
      </c>
      <c r="D4" s="22">
        <f>COUNTIFS(Tracker!E:E,A4,Tracker!F:F,"In Process")</f>
        <v>1</v>
      </c>
      <c r="E4" s="22">
        <f>COUNTIF(Tracker!E:E,A4)-COUNTIFS(Tracker!E:E,A4,Tracker!F:F,"No need")</f>
        <v>70</v>
      </c>
      <c r="F4" s="25">
        <f t="shared" ref="F4:F16" si="1">(C4+D4)/E4</f>
        <v>0.25714285714285712</v>
      </c>
      <c r="G4" s="28" t="b">
        <v>1</v>
      </c>
      <c r="I4" s="19" t="s">
        <v>200</v>
      </c>
      <c r="J4" s="116">
        <f>Tracker!A474</f>
        <v>0.93055555555555558</v>
      </c>
      <c r="K4" s="128">
        <v>1</v>
      </c>
      <c r="N4" s="108">
        <f>C4*(Tracker!AC9+Tracker!AD9)</f>
        <v>289000</v>
      </c>
      <c r="O4" s="113">
        <f>C4*(Tracker!AE4)</f>
        <v>1479</v>
      </c>
      <c r="Q4" s="108" t="str">
        <f t="shared" ref="Q4:Q17" si="2">A4</f>
        <v>EFMS</v>
      </c>
      <c r="R4" s="114">
        <f t="shared" si="0"/>
        <v>0.25714285714285712</v>
      </c>
      <c r="S4" s="19" t="s">
        <v>111</v>
      </c>
      <c r="T4" s="8">
        <v>0</v>
      </c>
      <c r="U4" s="8">
        <v>0</v>
      </c>
      <c r="V4" s="8">
        <v>0</v>
      </c>
      <c r="W4" s="8">
        <f>SUM(E3:E17)</f>
        <v>550</v>
      </c>
    </row>
    <row r="5" spans="1:23" ht="25" customHeight="1" x14ac:dyDescent="0.35">
      <c r="A5" s="22" t="s">
        <v>14</v>
      </c>
      <c r="B5" s="109">
        <v>3</v>
      </c>
      <c r="C5" s="22">
        <f>COUNTIFS(Tracker!E:E,A5,Tracker!F:F,"Done")</f>
        <v>29</v>
      </c>
      <c r="D5" s="22">
        <f>COUNTIFS(Tracker!E:E,A5,Tracker!F:F,"In Process")</f>
        <v>13</v>
      </c>
      <c r="E5" s="22">
        <f>COUNTIF(Tracker!E:E,A5)-COUNTIFS(Tracker!E:E,A5,Tracker!F:F,"No need")</f>
        <v>44</v>
      </c>
      <c r="F5" s="25">
        <f>(C5+D5)/E5</f>
        <v>0.95454545454545459</v>
      </c>
      <c r="G5" s="28" t="b">
        <v>1</v>
      </c>
      <c r="I5" s="19" t="s">
        <v>201</v>
      </c>
      <c r="J5" s="153">
        <f>Tracker!AD123</f>
        <v>7.3772553683058351E-2</v>
      </c>
      <c r="K5" s="128">
        <v>0.2</v>
      </c>
      <c r="N5" s="108">
        <f>C5*(Tracker!AC7+Tracker!AD7)</f>
        <v>223300</v>
      </c>
      <c r="O5" s="113">
        <f>C5*(Tracker!AE5)</f>
        <v>0</v>
      </c>
      <c r="Q5" s="108" t="str">
        <f t="shared" si="2"/>
        <v>IWTM Filter</v>
      </c>
      <c r="R5" s="114">
        <f t="shared" si="0"/>
        <v>0.95454545454545459</v>
      </c>
      <c r="S5" s="8" t="s">
        <v>196</v>
      </c>
      <c r="T5" s="8">
        <v>250</v>
      </c>
      <c r="U5" s="8">
        <v>75</v>
      </c>
      <c r="V5" s="8">
        <v>50</v>
      </c>
      <c r="W5" s="8">
        <v>0</v>
      </c>
    </row>
    <row r="6" spans="1:23" ht="25" customHeight="1" x14ac:dyDescent="0.35">
      <c r="A6" s="22" t="s">
        <v>290</v>
      </c>
      <c r="B6" s="109">
        <v>3</v>
      </c>
      <c r="C6" s="22">
        <f>COUNTIFS(Tracker!E:E,A6,Tracker!F:F,"Done")</f>
        <v>5</v>
      </c>
      <c r="D6" s="22">
        <f>COUNTIFS(Tracker!E:E,A6,Tracker!F:F,"In Process")</f>
        <v>3</v>
      </c>
      <c r="E6" s="22">
        <f>COUNTIF(Tracker!E:E,A6)-COUNTIFS(Tracker!E:E,A6,Tracker!F:F,"No need")</f>
        <v>8</v>
      </c>
      <c r="F6" s="25">
        <f>(C6+D6)/E6</f>
        <v>1</v>
      </c>
      <c r="G6" s="28" t="b">
        <v>1</v>
      </c>
      <c r="I6" s="19"/>
      <c r="J6" s="117"/>
      <c r="K6" s="128"/>
      <c r="N6" s="108"/>
      <c r="O6" s="113"/>
      <c r="Q6" s="108"/>
      <c r="R6" s="114"/>
    </row>
    <row r="7" spans="1:23" ht="25" customHeight="1" x14ac:dyDescent="0.35">
      <c r="A7" s="22" t="s">
        <v>110</v>
      </c>
      <c r="B7" s="109">
        <v>3</v>
      </c>
      <c r="C7" s="22">
        <f>COUNTIFS(Tracker!E:E,A7,Tracker!F:F,"Done")</f>
        <v>12</v>
      </c>
      <c r="D7" s="22">
        <f>COUNTIFS(Tracker!E:E,A7,Tracker!F:F,"In Process")</f>
        <v>1</v>
      </c>
      <c r="E7" s="22">
        <f>COUNTIF(Tracker!E:E,A7)-COUNTIFS(Tracker!E:E,A7,Tracker!F:F,"No need")</f>
        <v>45</v>
      </c>
      <c r="F7" s="25">
        <f t="shared" si="1"/>
        <v>0.28888888888888886</v>
      </c>
      <c r="G7" s="28" t="b">
        <v>1</v>
      </c>
      <c r="J7" s="8">
        <f>Tracker!AD121</f>
        <v>22926</v>
      </c>
      <c r="K7" s="106"/>
      <c r="N7" s="108">
        <f>C7*(Tracker!AC6+Tracker!AD6)</f>
        <v>90000</v>
      </c>
      <c r="O7" s="113">
        <f>C7*(Tracker!AE6)</f>
        <v>168</v>
      </c>
      <c r="Q7" s="108" t="str">
        <f t="shared" si="2"/>
        <v>CMCE LP</v>
      </c>
      <c r="R7" s="114">
        <f t="shared" si="0"/>
        <v>0.28888888888888886</v>
      </c>
    </row>
    <row r="8" spans="1:23" ht="25" customHeight="1" x14ac:dyDescent="0.35">
      <c r="A8" s="22" t="s">
        <v>106</v>
      </c>
      <c r="B8" s="109" t="s">
        <v>278</v>
      </c>
      <c r="C8" s="22">
        <f>COUNTIFS(Tracker!E:E,A8,Tracker!F:F,"Done")</f>
        <v>26</v>
      </c>
      <c r="D8" s="22">
        <f>COUNTIFS(Tracker!E:E,A8,Tracker!F:F,"In Process")</f>
        <v>2</v>
      </c>
      <c r="E8" s="22">
        <f>COUNTIF(Tracker!E:E,A8)-COUNTIFS(Tracker!E:E,A8,Tracker!F:F,"No need")</f>
        <v>70</v>
      </c>
      <c r="F8" s="25">
        <f t="shared" si="1"/>
        <v>0.4</v>
      </c>
      <c r="G8" s="28" t="b">
        <v>1</v>
      </c>
      <c r="J8" s="8">
        <v>72</v>
      </c>
      <c r="N8" s="108">
        <f>C8*(Tracker!AC8+Tracker!AD8)</f>
        <v>319800</v>
      </c>
      <c r="O8" s="113">
        <f>C8*(Tracker!AE7)</f>
        <v>208</v>
      </c>
      <c r="Q8" s="108" t="str">
        <f t="shared" si="2"/>
        <v>LED lights</v>
      </c>
      <c r="R8" s="114">
        <f t="shared" si="0"/>
        <v>0.4</v>
      </c>
    </row>
    <row r="9" spans="1:23" ht="25" customHeight="1" x14ac:dyDescent="0.35">
      <c r="A9" s="22" t="s">
        <v>93</v>
      </c>
      <c r="B9" s="109">
        <v>3</v>
      </c>
      <c r="C9" s="22">
        <f>COUNTIFS(Tracker!E:E,A9,Tracker!F:F,"Done")</f>
        <v>1</v>
      </c>
      <c r="D9" s="22">
        <f>COUNTIFS(Tracker!E:E,A9,Tracker!F:F,"In Process")</f>
        <v>1</v>
      </c>
      <c r="E9" s="22">
        <f>COUNTIF(Tracker!E:E,A9)-COUNTIFS(Tracker!E:E,A9,Tracker!F:F,"No need")</f>
        <v>2</v>
      </c>
      <c r="F9" s="25">
        <f t="shared" si="1"/>
        <v>1</v>
      </c>
      <c r="G9" s="28" t="b">
        <v>1</v>
      </c>
      <c r="N9" s="108">
        <f>C9*(Tracker!AC8+Tracker!AD8)</f>
        <v>12300</v>
      </c>
      <c r="O9" s="113">
        <f>C9*(Tracker!AE8)</f>
        <v>85</v>
      </c>
      <c r="Q9" s="108" t="str">
        <f t="shared" si="2"/>
        <v>Chlorinator</v>
      </c>
      <c r="R9" s="114">
        <f t="shared" si="0"/>
        <v>1</v>
      </c>
    </row>
    <row r="10" spans="1:23" ht="25" customHeight="1" x14ac:dyDescent="0.35">
      <c r="A10" s="22" t="s">
        <v>280</v>
      </c>
      <c r="B10" s="109">
        <v>3</v>
      </c>
      <c r="C10" s="22">
        <f>COUNTIFS(Tracker!E:E,A10,Tracker!F:F,"Done")</f>
        <v>1</v>
      </c>
      <c r="D10" s="22">
        <f>COUNTIFS(Tracker!E:E,A10,Tracker!F:F,"In Process")</f>
        <v>0</v>
      </c>
      <c r="E10" s="22">
        <v>72</v>
      </c>
      <c r="F10" s="25">
        <f t="shared" si="1"/>
        <v>1.3888888888888888E-2</v>
      </c>
      <c r="G10" s="28" t="b">
        <v>0</v>
      </c>
      <c r="N10" s="108">
        <v>0</v>
      </c>
      <c r="O10" s="113">
        <v>0</v>
      </c>
      <c r="Q10" s="108" t="str">
        <f t="shared" si="2"/>
        <v>Deva Paint</v>
      </c>
      <c r="R10" s="114">
        <f t="shared" si="0"/>
        <v>1.3888888888888888E-2</v>
      </c>
    </row>
    <row r="11" spans="1:23" ht="25" customHeight="1" x14ac:dyDescent="0.35">
      <c r="A11" s="22" t="s">
        <v>103</v>
      </c>
      <c r="B11" s="109">
        <v>3</v>
      </c>
      <c r="C11" s="22">
        <f>COUNTIFS(Tracker!E:E,A11,Tracker!F:F,"Done")</f>
        <v>5</v>
      </c>
      <c r="D11" s="22">
        <f>COUNTIFS(Tracker!E:E,A11,Tracker!F:F,"In Process")</f>
        <v>0</v>
      </c>
      <c r="E11" s="22">
        <f>COUNTIF(Tracker!E:E,A11)-COUNTIFS(Tracker!E:E,A11,Tracker!F:F,"No need")</f>
        <v>10</v>
      </c>
      <c r="F11" s="25">
        <f t="shared" si="1"/>
        <v>0.5</v>
      </c>
      <c r="G11" s="28" t="b">
        <v>0</v>
      </c>
      <c r="N11" s="108">
        <f>C11*(Tracker!AC10+Tracker!AD10)</f>
        <v>20000</v>
      </c>
      <c r="O11" s="113">
        <f>C11*(Tracker!AE10)</f>
        <v>150</v>
      </c>
      <c r="Q11" s="108" t="str">
        <f t="shared" si="2"/>
        <v>AI CCTV</v>
      </c>
      <c r="R11" s="114">
        <f t="shared" si="0"/>
        <v>0.5</v>
      </c>
    </row>
    <row r="12" spans="1:23" ht="25" customHeight="1" x14ac:dyDescent="0.35">
      <c r="A12" s="22" t="s">
        <v>299</v>
      </c>
      <c r="B12" s="109" t="s">
        <v>291</v>
      </c>
      <c r="C12" s="22">
        <f>COUNTIFS(Tracker!E:E,A12,Tracker!F:F,"Done")</f>
        <v>0</v>
      </c>
      <c r="D12" s="22">
        <f>COUNTIFS(Tracker!E:E,A12,Tracker!F:F,"In Process")</f>
        <v>2</v>
      </c>
      <c r="E12" s="22">
        <v>72</v>
      </c>
      <c r="F12" s="25">
        <f t="shared" si="1"/>
        <v>2.7777777777777776E-2</v>
      </c>
      <c r="G12" s="28" t="b">
        <v>0</v>
      </c>
      <c r="N12" s="108"/>
      <c r="O12" s="113"/>
      <c r="Q12" s="108" t="str">
        <f t="shared" si="2"/>
        <v>Spinergie Fleet</v>
      </c>
      <c r="R12" s="114"/>
    </row>
    <row r="13" spans="1:23" ht="25" customHeight="1" x14ac:dyDescent="0.35">
      <c r="A13" s="22" t="s">
        <v>128</v>
      </c>
      <c r="B13" s="109">
        <v>3</v>
      </c>
      <c r="C13" s="22">
        <v>70</v>
      </c>
      <c r="D13" s="22">
        <f>COUNTIFS(Tracker!E:E,A13,Tracker!F:F,"In Process")</f>
        <v>0</v>
      </c>
      <c r="E13" s="22">
        <v>72</v>
      </c>
      <c r="F13" s="25">
        <f t="shared" si="1"/>
        <v>0.97222222222222221</v>
      </c>
      <c r="G13" s="28" t="b">
        <v>1</v>
      </c>
      <c r="N13" s="108">
        <f>C13*(Tracker!AC11+Tracker!AD11)</f>
        <v>210000</v>
      </c>
      <c r="O13" s="113">
        <f>C13*(Tracker!AE11)</f>
        <v>0</v>
      </c>
      <c r="Q13" s="108" t="str">
        <f t="shared" si="2"/>
        <v>Nautilus Log</v>
      </c>
      <c r="R13" s="114">
        <f t="shared" si="0"/>
        <v>0.97222222222222221</v>
      </c>
    </row>
    <row r="14" spans="1:23" ht="25" customHeight="1" x14ac:dyDescent="0.35">
      <c r="A14" s="22" t="s">
        <v>190</v>
      </c>
      <c r="B14" s="109">
        <v>2</v>
      </c>
      <c r="C14" s="109">
        <f>COUNTIFS(Tracker!E:E,A14,Tracker!F:F,"Done")</f>
        <v>1</v>
      </c>
      <c r="D14" s="22">
        <f>COUNTIFS(Tracker!E:E,A14,Tracker!F:F,"In Process")</f>
        <v>0</v>
      </c>
      <c r="E14" s="22">
        <f>COUNTIF(Tracker!E:E,A14)-COUNTIFS(Tracker!E:E,A14,Tracker!F:F,"No need")</f>
        <v>1</v>
      </c>
      <c r="F14" s="25">
        <f t="shared" si="1"/>
        <v>1</v>
      </c>
      <c r="G14" s="28" t="b">
        <v>1</v>
      </c>
      <c r="N14" s="108">
        <f>C14*(Tracker!AC12+Tracker!AD12)</f>
        <v>1500</v>
      </c>
      <c r="O14" s="113">
        <f>C14*(Tracker!AE12)</f>
        <v>0</v>
      </c>
      <c r="Q14" s="108" t="str">
        <f t="shared" si="2"/>
        <v>RE Conversion</v>
      </c>
      <c r="R14" s="114">
        <f t="shared" si="0"/>
        <v>1</v>
      </c>
    </row>
    <row r="15" spans="1:23" ht="25" customHeight="1" x14ac:dyDescent="0.35">
      <c r="A15" s="22" t="s">
        <v>309</v>
      </c>
      <c r="B15" s="109" t="s">
        <v>291</v>
      </c>
      <c r="C15" s="109">
        <f>COUNTIFS(Tracker!E:E,A15,Tracker!F:F,"Done")</f>
        <v>1</v>
      </c>
      <c r="D15" s="22">
        <f>COUNTIFS(Tracker!E:E,A15,Tracker!F:F,"In Process")</f>
        <v>1</v>
      </c>
      <c r="E15" s="22">
        <f>COUNTIF(Tracker!E:E,A15)-COUNTIFS(Tracker!E:E,A15,Tracker!F:F,"No need")</f>
        <v>8</v>
      </c>
      <c r="F15" s="25">
        <f t="shared" si="1"/>
        <v>0.25</v>
      </c>
      <c r="G15" s="28" t="b">
        <v>0</v>
      </c>
      <c r="N15" s="108"/>
      <c r="O15" s="113"/>
      <c r="Q15" s="108" t="str">
        <f t="shared" si="2"/>
        <v>Silicon Paint</v>
      </c>
      <c r="R15" s="114"/>
    </row>
    <row r="16" spans="1:23" ht="25" customHeight="1" x14ac:dyDescent="0.35">
      <c r="A16" s="22" t="s">
        <v>310</v>
      </c>
      <c r="B16" s="109">
        <v>2</v>
      </c>
      <c r="C16" s="109">
        <f>COUNTIFS(Tracker!E:E,A16,Tracker!F:F,"Done")</f>
        <v>2</v>
      </c>
      <c r="D16" s="22">
        <f>COUNTIFS(Tracker!E:E,A16,Tracker!F:F,"In Process")</f>
        <v>0</v>
      </c>
      <c r="E16" s="22">
        <f>COUNTIF(Tracker!E:E,A16)-COUNTIFS(Tracker!E:E,A16,Tracker!F:F,"No need")</f>
        <v>8</v>
      </c>
      <c r="F16" s="25">
        <f t="shared" si="1"/>
        <v>0.25</v>
      </c>
      <c r="G16" s="28" t="b">
        <v>0</v>
      </c>
      <c r="N16" s="108" t="e">
        <f>C16*(Tracker!#REF!+Tracker!#REF!)</f>
        <v>#REF!</v>
      </c>
      <c r="O16" s="113" t="e">
        <f>C16*(Tracker!#REF!)</f>
        <v>#REF!</v>
      </c>
      <c r="Q16" s="108" t="str">
        <f t="shared" si="2"/>
        <v>Shore Generator</v>
      </c>
      <c r="R16" s="114"/>
    </row>
    <row r="17" spans="1:19" ht="25" customHeight="1" x14ac:dyDescent="0.35">
      <c r="A17" s="136" t="s">
        <v>185</v>
      </c>
      <c r="B17" s="92">
        <v>3</v>
      </c>
      <c r="C17" s="92">
        <f>COUNTIFS(Tracker!E:E,A17,Tracker!F:F,"Done")</f>
        <v>0</v>
      </c>
      <c r="D17" s="99">
        <f>COUNTIFS(Tracker!E:E,A17,Tracker!F:F,"In Process")</f>
        <v>1</v>
      </c>
      <c r="E17" s="92">
        <f>COUNTIF(Tracker!E:E,A17)-COUNTIFS(Tracker!E:E,A17,Tracker!F:F,"No need")</f>
        <v>1</v>
      </c>
      <c r="F17" s="110">
        <f>(C17+D17)/E17</f>
        <v>1</v>
      </c>
      <c r="G17" s="29" t="b">
        <v>0</v>
      </c>
      <c r="N17" s="108">
        <f>C17*(Tracker!AC12+Tracker!AD12)</f>
        <v>0</v>
      </c>
      <c r="O17" s="113">
        <f>C17*(Tracker!AE12)</f>
        <v>0</v>
      </c>
      <c r="Q17" s="108" t="str">
        <f t="shared" si="2"/>
        <v>IOW Separator</v>
      </c>
      <c r="R17" s="114">
        <f t="shared" si="0"/>
        <v>1</v>
      </c>
    </row>
    <row r="18" spans="1:19" ht="25" customHeight="1" x14ac:dyDescent="0.35">
      <c r="Q18" s="108" t="s">
        <v>192</v>
      </c>
      <c r="R18" s="115">
        <f>AVERAGE(R3:R17)</f>
        <v>0.64709378138821827</v>
      </c>
    </row>
    <row r="19" spans="1:19" ht="25" customHeight="1" thickBot="1" x14ac:dyDescent="0.4"/>
    <row r="20" spans="1:19" ht="26" customHeight="1" thickBot="1" x14ac:dyDescent="0.4">
      <c r="B20" s="208" t="e" vm="1">
        <v>#VALUE!</v>
      </c>
      <c r="C20" s="209"/>
      <c r="D20" s="210" t="s">
        <v>297</v>
      </c>
      <c r="E20" s="213" t="str">
        <f>INDEX(A26:A94, MATCH(G21, B26:B94, 0))</f>
        <v>Britoil Defiance</v>
      </c>
    </row>
    <row r="21" spans="1:19" ht="31" customHeight="1" x14ac:dyDescent="0.35">
      <c r="B21" s="94" t="s">
        <v>119</v>
      </c>
      <c r="C21" s="95">
        <f>SUM(Tracker!H9:H491)+SUM(Tracker!I9:I491)+C13*Tracker!AD12</f>
        <v>1670508.0961286696</v>
      </c>
      <c r="D21" s="211"/>
      <c r="E21" s="214"/>
      <c r="G21" s="88">
        <f>MAX(B26:B92)</f>
        <v>79887.581821582193</v>
      </c>
    </row>
    <row r="22" spans="1:19" ht="32.5" customHeight="1" x14ac:dyDescent="0.35">
      <c r="B22" s="86" t="s">
        <v>127</v>
      </c>
      <c r="C22" s="93">
        <f>SUM(Tracker!J9:J491)</f>
        <v>7055.9397699644705</v>
      </c>
      <c r="D22" s="211" t="s">
        <v>298</v>
      </c>
      <c r="E22" s="214" t="s">
        <v>73</v>
      </c>
    </row>
    <row r="23" spans="1:19" ht="32.5" customHeight="1" thickBot="1" x14ac:dyDescent="0.4">
      <c r="B23" s="87" t="s">
        <v>162</v>
      </c>
      <c r="C23" s="96">
        <v>15</v>
      </c>
      <c r="D23" s="212"/>
      <c r="E23" s="215"/>
    </row>
    <row r="25" spans="1:19" ht="64" customHeight="1" x14ac:dyDescent="0.35">
      <c r="A25" s="74" t="s">
        <v>120</v>
      </c>
      <c r="B25" s="77">
        <f>SUM(B26:B53)</f>
        <v>694442.61548531894</v>
      </c>
      <c r="C25" s="75" t="s">
        <v>121</v>
      </c>
      <c r="D25" s="78">
        <f>SUM(D26:D53)</f>
        <v>393234.93080231902</v>
      </c>
      <c r="E25" s="76" t="s">
        <v>122</v>
      </c>
      <c r="F25" s="79">
        <f>SUM(F26:F53)</f>
        <v>477830.54984103231</v>
      </c>
    </row>
    <row r="26" spans="1:19" ht="25" customHeight="1" x14ac:dyDescent="0.35">
      <c r="A26" s="68" t="s">
        <v>11</v>
      </c>
      <c r="B26" s="80">
        <f>SUMIF(Tracker!$U$9:$U$491, A26, Tracker!$H$9:$H$491)+SUMIF(Tracker!$U$9:$U$491, A26, Tracker!$I$9:$I$491)</f>
        <v>0</v>
      </c>
      <c r="C26" s="70" t="s">
        <v>306</v>
      </c>
      <c r="D26" s="81">
        <f>SUMIF(Tracker!$U$9:$U$491, C26, Tracker!$H$9:$H$491)+SUMIF(Tracker!$U$9:$U$491, C26, Tracker!$I$9:$I$491)</f>
        <v>14057.471479334206</v>
      </c>
      <c r="E26" s="72" t="s">
        <v>44</v>
      </c>
      <c r="F26" s="84">
        <f>SUMIF(Tracker!$U$9:$U$491, E26, Tracker!$H$9:$H$491)+SUMIF(Tracker!$U$9:$U$491, E26, Tracker!$I$9:$I$491)</f>
        <v>0</v>
      </c>
    </row>
    <row r="27" spans="1:19" ht="25" customHeight="1" x14ac:dyDescent="0.35">
      <c r="A27" s="68" t="s">
        <v>15</v>
      </c>
      <c r="B27" s="80">
        <f>SUMIF(Tracker!$U$9:$U$491, A27, Tracker!$H$9:$H$491)+SUMIF(Tracker!$U$9:$U$491, A27, Tracker!$I$9:$I$491)</f>
        <v>7303.160650832242</v>
      </c>
      <c r="C27" s="70" t="s">
        <v>42</v>
      </c>
      <c r="D27" s="82">
        <f>SUMIF(Tracker!$U$9:$U$491, C27, Tracker!$H$9:$H$491)+SUMIF(Tracker!$U$9:$U$491, C27, Tracker!$I$9:$I$491)</f>
        <v>34700</v>
      </c>
      <c r="E27" s="72" t="s">
        <v>56</v>
      </c>
      <c r="F27" s="84">
        <f>SUMIF(Tracker!$U$9:$U$491, E27, Tracker!$H$9:$H$491)+SUMIF(Tracker!$U$9:$U$491, E27, Tracker!$I$9:$I$491)</f>
        <v>19497.101178230783</v>
      </c>
      <c r="Q27" s="8" t="s">
        <v>188</v>
      </c>
      <c r="R27" s="8" t="s">
        <v>186</v>
      </c>
      <c r="S27" s="8" t="s">
        <v>187</v>
      </c>
    </row>
    <row r="28" spans="1:19" ht="25" customHeight="1" x14ac:dyDescent="0.35">
      <c r="A28" s="68" t="s">
        <v>16</v>
      </c>
      <c r="B28" s="80">
        <f>SUMIF(Tracker!$U$9:$U$491, A28, Tracker!$H$9:$H$491)+SUMIF(Tracker!$U$9:$U$491, A28, Tracker!$I$9:$I$491)</f>
        <v>44460</v>
      </c>
      <c r="C28" s="70" t="s">
        <v>43</v>
      </c>
      <c r="D28" s="82">
        <f>SUMIF(Tracker!$U$9:$U$491, C28, Tracker!$H$9:$H$491)+SUMIF(Tracker!$U$9:$U$491, C28, Tracker!$I$9:$I$491)</f>
        <v>19323.279409014398</v>
      </c>
      <c r="E28" s="72" t="s">
        <v>54</v>
      </c>
      <c r="F28" s="84">
        <f>SUMIF(Tracker!$U$9:$U$491, E28, Tracker!$H$9:$H$491)+SUMIF(Tracker!$U$9:$U$491, E28, Tracker!$I$9:$I$491)</f>
        <v>10447.503272863287</v>
      </c>
      <c r="Q28" s="8" t="s">
        <v>122</v>
      </c>
      <c r="R28" s="91">
        <f>F25</f>
        <v>477830.54984103231</v>
      </c>
      <c r="S28" s="111">
        <f>R28/23</f>
        <v>20775.241297436187</v>
      </c>
    </row>
    <row r="29" spans="1:19" ht="25" customHeight="1" x14ac:dyDescent="0.35">
      <c r="A29" s="68" t="s">
        <v>18</v>
      </c>
      <c r="B29" s="80">
        <f>SUMIF(Tracker!$U$9:$U$491, A29, Tracker!$H$9:$H$491)+SUMIF(Tracker!$U$9:$U$491, A29, Tracker!$I$9:$I$491)</f>
        <v>28470</v>
      </c>
      <c r="C29" s="70" t="s">
        <v>305</v>
      </c>
      <c r="D29" s="82">
        <f>SUMIF(Tracker!$U$9:$U$491, C29, Tracker!$H$9:$H$491)+SUMIF(Tracker!$U$9:$U$491, C29, Tracker!$I$9:$I$491)</f>
        <v>79887.581821582193</v>
      </c>
      <c r="E29" s="72" t="s">
        <v>58</v>
      </c>
      <c r="F29" s="84">
        <f>SUMIF(Tracker!$U$9:$U$491, E29, Tracker!$H$9:$H$491)+SUMIF(Tracker!$U$9:$U$491, E29, Tracker!$I$9:$I$491)</f>
        <v>20336.445670469424</v>
      </c>
      <c r="Q29" s="8" t="s">
        <v>121</v>
      </c>
      <c r="R29" s="91">
        <f>D25</f>
        <v>393234.93080231902</v>
      </c>
      <c r="S29" s="111">
        <f>R29/16</f>
        <v>24577.183175144939</v>
      </c>
    </row>
    <row r="30" spans="1:19" ht="25" customHeight="1" x14ac:dyDescent="0.35">
      <c r="A30" s="68" t="s">
        <v>19</v>
      </c>
      <c r="B30" s="80">
        <f>SUMIF(Tracker!$U$9:$U$491, A30, Tracker!$H$9:$H$491)+SUMIF(Tracker!$U$9:$U$491, A30, Tracker!$I$9:$I$491)</f>
        <v>28470</v>
      </c>
      <c r="C30" s="70" t="s">
        <v>255</v>
      </c>
      <c r="D30" s="82">
        <f>SUMIF(Tracker!$U$9:$U$491, C30, Tracker!$H$9:$H$491)+SUMIF(Tracker!$U$9:$U$491, C30, Tracker!$I$9:$I$491)</f>
        <v>10286.141761735553</v>
      </c>
      <c r="E30" s="72" t="s">
        <v>60</v>
      </c>
      <c r="F30" s="84">
        <f>SUMIF(Tracker!$U$9:$U$491, E30, Tracker!$H$9:$H$491)+SUMIF(Tracker!$U$9:$U$491, E30, Tracker!$I$9:$I$491)</f>
        <v>20336.445670469424</v>
      </c>
      <c r="Q30" s="8" t="s">
        <v>120</v>
      </c>
      <c r="R30" s="91">
        <f>B25</f>
        <v>694442.61548531894</v>
      </c>
      <c r="S30" s="111">
        <f>R30/28</f>
        <v>24801.521981618534</v>
      </c>
    </row>
    <row r="31" spans="1:19" ht="25" customHeight="1" x14ac:dyDescent="0.35">
      <c r="A31" s="68" t="s">
        <v>20</v>
      </c>
      <c r="B31" s="80">
        <f>SUMIF(Tracker!$U$9:$U$491, A31, Tracker!$H$9:$H$491)+SUMIF(Tracker!$U$9:$U$491, A31, Tracker!$I$9:$I$491)</f>
        <v>16894.987843650648</v>
      </c>
      <c r="C31" s="70" t="s">
        <v>95</v>
      </c>
      <c r="D31" s="82">
        <f>SUMIF(Tracker!$U$9:$U$491, C31, Tracker!$H$9:$H$491)+SUMIF(Tracker!$U$9:$U$491, C31, Tracker!$I$9:$I$491)</f>
        <v>10543.103609500655</v>
      </c>
      <c r="E31" s="72" t="s">
        <v>63</v>
      </c>
      <c r="F31" s="84">
        <f>SUMIF(Tracker!$U$9:$U$491, E31, Tracker!$H$9:$H$491)+SUMIF(Tracker!$U$9:$U$491, E31, Tracker!$I$9:$I$491)</f>
        <v>19497.101178230783</v>
      </c>
    </row>
    <row r="32" spans="1:19" ht="25" customHeight="1" x14ac:dyDescent="0.35">
      <c r="A32" s="68" t="s">
        <v>22</v>
      </c>
      <c r="B32" s="80">
        <f>SUMIF(Tracker!$U$9:$U$491, A32, Tracker!$H$9:$H$491)+SUMIF(Tracker!$U$9:$U$491, A32, Tracker!$I$9:$I$491)</f>
        <v>26923.976061342808</v>
      </c>
      <c r="C32" s="70" t="s">
        <v>90</v>
      </c>
      <c r="D32" s="82">
        <f>SUMIF(Tracker!$U$9:$U$491, C32, Tracker!$H$9:$H$491)+SUMIF(Tracker!$U$9:$U$491, C32, Tracker!$I$9:$I$491)</f>
        <v>12171.713110155226</v>
      </c>
      <c r="E32" s="72" t="s">
        <v>66</v>
      </c>
      <c r="F32" s="84">
        <f>SUMIF(Tracker!$U$9:$U$491, E32, Tracker!$H$9:$H$491)+SUMIF(Tracker!$U$9:$U$491, E32, Tracker!$I$9:$I$491)</f>
        <v>0</v>
      </c>
    </row>
    <row r="33" spans="1:6" ht="25" customHeight="1" x14ac:dyDescent="0.35">
      <c r="A33" s="68" t="s">
        <v>23</v>
      </c>
      <c r="B33" s="80">
        <f>SUMIF(Tracker!$U$9:$U$491, A33, Tracker!$H$9:$H$491)+SUMIF(Tracker!$U$9:$U$491, A33, Tracker!$I$9:$I$491)</f>
        <v>10954.740976248364</v>
      </c>
      <c r="C33" s="70" t="s">
        <v>89</v>
      </c>
      <c r="D33" s="82">
        <f>SUMIF(Tracker!$U$9:$U$491, C33, Tracker!$H$9:$H$491)+SUMIF(Tracker!$U$9:$U$491, C33, Tracker!$I$9:$I$491)</f>
        <v>12171.713110155226</v>
      </c>
      <c r="E33" s="72" t="s">
        <v>67</v>
      </c>
      <c r="F33" s="84">
        <f>SUMIF(Tracker!$U$9:$U$491, E33, Tracker!$H$9:$H$491)+SUMIF(Tracker!$U$9:$U$491, E33, Tracker!$I$9:$I$491)</f>
        <v>0</v>
      </c>
    </row>
    <row r="34" spans="1:6" ht="25" customHeight="1" x14ac:dyDescent="0.35">
      <c r="A34" s="68" t="s">
        <v>24</v>
      </c>
      <c r="B34" s="80">
        <f>SUMIF(Tracker!$U$9:$U$491, A34, Tracker!$H$9:$H$491)+SUMIF(Tracker!$U$9:$U$491, A34, Tracker!$I$9:$I$491)</f>
        <v>10954.740976248364</v>
      </c>
      <c r="C34" s="70" t="s">
        <v>46</v>
      </c>
      <c r="D34" s="82">
        <f>SUMIF(Tracker!$U$9:$U$491, C34, Tracker!$H$9:$H$491)+SUMIF(Tracker!$U$9:$U$491, C34, Tracker!$I$9:$I$491)</f>
        <v>32004.6755189826</v>
      </c>
      <c r="E34" s="72" t="s">
        <v>71</v>
      </c>
      <c r="F34" s="84">
        <f>SUMIF(Tracker!$U$9:$U$491, E34, Tracker!$H$9:$H$491)+SUMIF(Tracker!$U$9:$U$491, E34, Tracker!$I$9:$I$491)</f>
        <v>48229.698896577516</v>
      </c>
    </row>
    <row r="35" spans="1:6" ht="25" customHeight="1" x14ac:dyDescent="0.35">
      <c r="A35" s="68" t="s">
        <v>25</v>
      </c>
      <c r="B35" s="80">
        <f>SUMIF(Tracker!$U$9:$U$491, A35, Tracker!$H$9:$H$491)+SUMIF(Tracker!$U$9:$U$491, A35, Tracker!$I$9:$I$491)</f>
        <v>16894.987843650648</v>
      </c>
      <c r="C35" s="70" t="s">
        <v>47</v>
      </c>
      <c r="D35" s="82">
        <f>SUMIF(Tracker!$U$9:$U$491, C35, Tracker!$H$9:$H$491)+SUMIF(Tracker!$U$9:$U$491, C35, Tracker!$I$9:$I$491)</f>
        <v>21557.172246119317</v>
      </c>
      <c r="E35" s="72" t="s">
        <v>73</v>
      </c>
      <c r="F35" s="84">
        <f>SUMIF(Tracker!$U$9:$U$491, E35, Tracker!$H$9:$H$491)+SUMIF(Tracker!$U$9:$U$491, E35, Tracker!$I$9:$I$491)</f>
        <v>23900</v>
      </c>
    </row>
    <row r="36" spans="1:6" ht="25" customHeight="1" x14ac:dyDescent="0.35">
      <c r="A36" s="68" t="s">
        <v>26</v>
      </c>
      <c r="B36" s="80">
        <f>SUMIF(Tracker!$U$9:$U$491, A36, Tracker!$H$9:$H$491)+SUMIF(Tracker!$U$9:$U$491, A36, Tracker!$I$9:$I$491)</f>
        <v>16894.987843650648</v>
      </c>
      <c r="C36" s="70" t="s">
        <v>48</v>
      </c>
      <c r="D36" s="82">
        <f>SUMIF(Tracker!$U$9:$U$491, C36, Tracker!$H$9:$H$491)+SUMIF(Tracker!$U$9:$U$491, C36, Tracker!$I$9:$I$491)</f>
        <v>21557.172246119317</v>
      </c>
      <c r="E36" s="72" t="s">
        <v>74</v>
      </c>
      <c r="F36" s="84">
        <f>SUMIF(Tracker!$U$9:$U$491, E36, Tracker!$H$9:$H$491)+SUMIF(Tracker!$U$9:$U$491, E36, Tracker!$I$9:$I$491)</f>
        <v>0</v>
      </c>
    </row>
    <row r="37" spans="1:6" ht="25" customHeight="1" x14ac:dyDescent="0.35">
      <c r="A37" s="68" t="s">
        <v>27</v>
      </c>
      <c r="B37" s="80">
        <f>SUMIF(Tracker!$U$9:$U$491, A37, Tracker!$H$9:$H$491)+SUMIF(Tracker!$U$9:$U$491, A37, Tracker!$I$9:$I$491)</f>
        <v>27317.748270057975</v>
      </c>
      <c r="C37" s="70" t="s">
        <v>50</v>
      </c>
      <c r="D37" s="82">
        <f>SUMIF(Tracker!$U$9:$U$491, C37, Tracker!$H$9:$H$491)+SUMIF(Tracker!$U$9:$U$491, C37, Tracker!$I$9:$I$491)</f>
        <v>21557.172246119317</v>
      </c>
      <c r="E37" s="72" t="s">
        <v>75</v>
      </c>
      <c r="F37" s="84">
        <f>SUMIF(Tracker!$U$9:$U$491, E37, Tracker!$H$9:$H$491)+SUMIF(Tracker!$U$9:$U$491, E37, Tracker!$I$9:$I$491)</f>
        <v>12171.713110155226</v>
      </c>
    </row>
    <row r="38" spans="1:6" ht="25" customHeight="1" x14ac:dyDescent="0.35">
      <c r="A38" s="68" t="s">
        <v>28</v>
      </c>
      <c r="B38" s="80">
        <f>SUMIF(Tracker!$U$9:$U$491, A38, Tracker!$H$9:$H$491)+SUMIF(Tracker!$U$9:$U$491, A38, Tracker!$I$9:$I$491)</f>
        <v>17730.764914905554</v>
      </c>
      <c r="C38" s="70" t="s">
        <v>51</v>
      </c>
      <c r="D38" s="82">
        <f>SUMIF(Tracker!$U$9:$U$491, C38, Tracker!$H$9:$H$491)+SUMIF(Tracker!$U$9:$U$491, C38, Tracker!$I$9:$I$491)</f>
        <v>34358.378530016831</v>
      </c>
      <c r="E38" s="72" t="s">
        <v>77</v>
      </c>
      <c r="F38" s="84">
        <f>SUMIF(Tracker!$U$9:$U$491, E38, Tracker!$H$9:$H$491)+SUMIF(Tracker!$U$9:$U$491, E38, Tracker!$I$9:$I$491)</f>
        <v>31043.458948943335</v>
      </c>
    </row>
    <row r="39" spans="1:6" ht="25" customHeight="1" x14ac:dyDescent="0.35">
      <c r="A39" s="68" t="s">
        <v>29</v>
      </c>
      <c r="B39" s="80">
        <f>SUMIF(Tracker!$U$9:$U$491, A39, Tracker!$H$9:$H$491)+SUMIF(Tracker!$U$9:$U$491, A39, Tracker!$I$9:$I$491)</f>
        <v>44842.341499906484</v>
      </c>
      <c r="C39" s="70" t="s">
        <v>53</v>
      </c>
      <c r="D39" s="82">
        <f>SUMIF(Tracker!$U$9:$U$491, C39, Tracker!$H$9:$H$491)+SUMIF(Tracker!$U$9:$U$491, C39, Tracker!$I$9:$I$491)</f>
        <v>47544.567046942218</v>
      </c>
      <c r="E39" s="72" t="s">
        <v>78</v>
      </c>
      <c r="F39" s="84">
        <f>SUMIF(Tracker!$U$9:$U$491, E39, Tracker!$H$9:$H$491)+SUMIF(Tracker!$U$9:$U$491, E39, Tracker!$I$9:$I$491)</f>
        <v>31043.458948943335</v>
      </c>
    </row>
    <row r="40" spans="1:6" ht="25" customHeight="1" x14ac:dyDescent="0.35">
      <c r="A40" s="68" t="s">
        <v>30</v>
      </c>
      <c r="B40" s="80">
        <f>SUMIF(Tracker!$U$9:$U$491, A40, Tracker!$H$9:$H$491)+SUMIF(Tracker!$U$9:$U$491, A40, Tracker!$I$9:$I$491)</f>
        <v>32394.726014587621</v>
      </c>
      <c r="C40" s="70" t="s">
        <v>91</v>
      </c>
      <c r="D40" s="82">
        <f>SUMIF(Tracker!$U$9:$U$491, C40, Tracker!$H$9:$H$491)+SUMIF(Tracker!$U$9:$U$491, C40, Tracker!$I$9:$I$491)</f>
        <v>10971.685057041332</v>
      </c>
      <c r="E40" s="72" t="s">
        <v>79</v>
      </c>
      <c r="F40" s="84">
        <f>SUMIF(Tracker!$U$9:$U$491, E40, Tracker!$H$9:$H$491)+SUMIF(Tracker!$U$9:$U$491, E40, Tracker!$I$9:$I$491)</f>
        <v>28972.470544230411</v>
      </c>
    </row>
    <row r="41" spans="1:6" ht="25" customHeight="1" x14ac:dyDescent="0.35">
      <c r="A41" s="68" t="s">
        <v>31</v>
      </c>
      <c r="B41" s="80">
        <f>SUMIF(Tracker!$U$9:$U$491, A41, Tracker!$H$9:$H$491)+SUMIF(Tracker!$U$9:$U$491, A41, Tracker!$I$9:$I$491)</f>
        <v>27514.75126239012</v>
      </c>
      <c r="C41" s="70" t="s">
        <v>94</v>
      </c>
      <c r="D41" s="82">
        <f>SUMIF(Tracker!$U$9:$U$491, C41, Tracker!$H$9:$H$491)+SUMIF(Tracker!$U$9:$U$491, C41, Tracker!$I$9:$I$491)</f>
        <v>10543.103609500655</v>
      </c>
      <c r="E41" s="72" t="s">
        <v>80</v>
      </c>
      <c r="F41" s="84">
        <f>SUMIF(Tracker!$U$9:$U$491, E41, Tracker!$H$9:$H$491)+SUMIF(Tracker!$U$9:$U$491, E41, Tracker!$I$9:$I$491)</f>
        <v>13186.18851692538</v>
      </c>
    </row>
    <row r="42" spans="1:6" ht="25" customHeight="1" x14ac:dyDescent="0.35">
      <c r="A42" s="68" t="s">
        <v>33</v>
      </c>
      <c r="B42" s="80">
        <f>SUMIF(Tracker!$U$9:$U$491, A42, Tracker!$H$9:$H$491)+SUMIF(Tracker!$U$9:$U$491, A42, Tracker!$I$9:$I$491)</f>
        <v>25029.156536375536</v>
      </c>
      <c r="C42" s="70" t="s">
        <v>308</v>
      </c>
      <c r="D42" s="82">
        <f>SUMIF(Tracker!$U$9:$U$491, C42, Tracker!$H$9:$H$491)+SUMIF(Tracker!$U$9:$U$491, C42, Tracker!$I$9:$I$491)</f>
        <v>0</v>
      </c>
      <c r="E42" s="72" t="s">
        <v>81</v>
      </c>
      <c r="F42" s="84">
        <f>SUMIF(Tracker!$U$9:$U$491, E42, Tracker!$H$9:$H$491)+SUMIF(Tracker!$U$9:$U$491, E42, Tracker!$I$9:$I$491)</f>
        <v>46400</v>
      </c>
    </row>
    <row r="43" spans="1:6" ht="25" customHeight="1" x14ac:dyDescent="0.35">
      <c r="A43" s="68" t="s">
        <v>35</v>
      </c>
      <c r="B43" s="80">
        <f>SUMIF(Tracker!$U$9:$U$491, A43, Tracker!$H$9:$H$491)+SUMIF(Tracker!$U$9:$U$491, A43, Tracker!$I$9:$I$491)</f>
        <v>61944.305217879184</v>
      </c>
      <c r="C43" s="70" t="s">
        <v>307</v>
      </c>
      <c r="D43" s="82">
        <f>SUMIF(Tracker!$U$9:$U$491, C43, Tracker!$H$9:$H$491)+SUMIF(Tracker!$U$9:$U$491, C43, Tracker!$I$9:$I$491)</f>
        <v>0</v>
      </c>
      <c r="E43" s="72" t="s">
        <v>82</v>
      </c>
      <c r="F43" s="84">
        <f>SUMIF(Tracker!$U$9:$U$491, E43, Tracker!$H$9:$H$491)+SUMIF(Tracker!$U$9:$U$491, E43, Tracker!$I$9:$I$491)</f>
        <v>46400</v>
      </c>
    </row>
    <row r="44" spans="1:6" ht="25" customHeight="1" x14ac:dyDescent="0.35">
      <c r="A44" s="68" t="s">
        <v>36</v>
      </c>
      <c r="B44" s="80">
        <f>SUMIF(Tracker!$U$9:$U$491, A44, Tracker!$H$9:$H$491)+SUMIF(Tracker!$U$9:$U$491, A44, Tracker!$I$9:$I$491)</f>
        <v>25600.598466429772</v>
      </c>
      <c r="C44" s="70" t="s">
        <v>301</v>
      </c>
      <c r="D44" s="82">
        <f>SUMIF(Tracker!$U$9:$U$491, C44, Tracker!$H$9:$H$491)+SUMIF(Tracker!$U$9:$U$491, C44, Tracker!$I$9:$I$491)</f>
        <v>0</v>
      </c>
      <c r="E44" s="72" t="s">
        <v>83</v>
      </c>
      <c r="F44" s="84">
        <f>SUMIF(Tracker!$U$9:$U$491, E44, Tracker!$H$9:$H$491)+SUMIF(Tracker!$U$9:$U$491, E44, Tracker!$I$9:$I$491)</f>
        <v>38900</v>
      </c>
    </row>
    <row r="45" spans="1:6" ht="25" customHeight="1" x14ac:dyDescent="0.35">
      <c r="A45" s="68" t="s">
        <v>37</v>
      </c>
      <c r="B45" s="80">
        <f>SUMIF(Tracker!$U$9:$U$491, A45, Tracker!$H$9:$H$491)+SUMIF(Tracker!$U$9:$U$491, A45, Tracker!$I$9:$I$491)</f>
        <v>14560</v>
      </c>
      <c r="C45" s="70" t="s">
        <v>302</v>
      </c>
      <c r="D45" s="82">
        <f>SUMIF(Tracker!$U$9:$U$491, C45, Tracker!$H$9:$H$491)+SUMIF(Tracker!$U$9:$U$491, C45, Tracker!$I$9:$I$491)</f>
        <v>0</v>
      </c>
      <c r="E45" s="72" t="s">
        <v>84</v>
      </c>
      <c r="F45" s="84">
        <f>SUMIF(Tracker!$U$9:$U$491, E45, Tracker!$H$9:$H$491)+SUMIF(Tracker!$U$9:$U$491, E45, Tracker!$I$9:$I$491)</f>
        <v>36677.454647465871</v>
      </c>
    </row>
    <row r="46" spans="1:6" ht="25" customHeight="1" x14ac:dyDescent="0.35">
      <c r="A46" s="68" t="s">
        <v>39</v>
      </c>
      <c r="B46" s="80">
        <f>SUMIF(Tracker!$U$9:$U$491, A46, Tracker!$H$9:$H$491)+SUMIF(Tracker!$U$9:$U$491, A46, Tracker!$I$9:$I$491)</f>
        <v>10660</v>
      </c>
      <c r="C46" s="70" t="s">
        <v>303</v>
      </c>
      <c r="D46" s="82">
        <f>SUMIF(Tracker!$U$9:$U$491, C46, Tracker!$H$9:$H$491)+SUMIF(Tracker!$U$9:$U$491, C46, Tracker!$I$9:$I$491)</f>
        <v>0</v>
      </c>
      <c r="E46" s="72" t="s">
        <v>85</v>
      </c>
      <c r="F46" s="84">
        <f>SUMIF(Tracker!$U$9:$U$491, E46, Tracker!$H$9:$H$491)+SUMIF(Tracker!$U$9:$U$491, E46, Tracker!$I$9:$I$491)</f>
        <v>20648.74696091266</v>
      </c>
    </row>
    <row r="47" spans="1:6" ht="25" customHeight="1" x14ac:dyDescent="0.35">
      <c r="A47" s="68" t="s">
        <v>68</v>
      </c>
      <c r="B47" s="80">
        <f>SUMIF(Tracker!$U$9:$U$491, A47, Tracker!$H$9:$H$491)+SUMIF(Tracker!$U$9:$U$491, A47, Tracker!$I$9:$I$491)</f>
        <v>47000</v>
      </c>
      <c r="C47" s="70"/>
      <c r="D47" s="82"/>
      <c r="E47" s="72" t="s">
        <v>96</v>
      </c>
      <c r="F47" s="84">
        <f>SUMIF(Tracker!$U$9:$U$491, E47, Tracker!$H$9:$H$491)+SUMIF(Tracker!$U$9:$U$491, E47, Tracker!$I$9:$I$491)</f>
        <v>0</v>
      </c>
    </row>
    <row r="48" spans="1:6" ht="25" customHeight="1" x14ac:dyDescent="0.35">
      <c r="A48" s="68" t="s">
        <v>70</v>
      </c>
      <c r="B48" s="80">
        <f>SUMIF(Tracker!$U$9:$U$491, A48, Tracker!$H$9:$H$491)+SUMIF(Tracker!$U$9:$U$491, A48, Tracker!$I$9:$I$491)</f>
        <v>42400</v>
      </c>
      <c r="C48" s="70"/>
      <c r="D48" s="82"/>
      <c r="E48" s="72" t="s">
        <v>319</v>
      </c>
      <c r="F48" s="84">
        <f>SUMIF(Tracker!$U$9:$U$491, E48, Tracker!$H$9:$H$491)+SUMIF(Tracker!$U$9:$U$491, E48, Tracker!$I$9:$I$491)</f>
        <v>10142.762296614925</v>
      </c>
    </row>
    <row r="49" spans="1:6" ht="25" customHeight="1" x14ac:dyDescent="0.35">
      <c r="A49" s="68" t="s">
        <v>86</v>
      </c>
      <c r="B49" s="80">
        <f>SUMIF(Tracker!$U$9:$U$491, A49, Tracker!$H$9:$H$491)+SUMIF(Tracker!$U$9:$U$491, A49, Tracker!$I$9:$I$491)</f>
        <v>33545.99775575089</v>
      </c>
      <c r="C49" s="70"/>
      <c r="D49" s="82"/>
      <c r="E49" s="72"/>
      <c r="F49" s="84"/>
    </row>
    <row r="50" spans="1:6" ht="25" customHeight="1" x14ac:dyDescent="0.35">
      <c r="A50" s="68" t="s">
        <v>40</v>
      </c>
      <c r="B50" s="80">
        <f>SUMIF(Tracker!$U$9:$U$491, A50, Tracker!$H$9:$H$491)+SUMIF(Tracker!$U$9:$U$491, A50, Tracker!$I$9:$I$491)</f>
        <v>21971.647652889471</v>
      </c>
      <c r="C50" s="70"/>
      <c r="D50" s="82"/>
      <c r="E50" s="72"/>
      <c r="F50" s="84"/>
    </row>
    <row r="51" spans="1:6" ht="25" customHeight="1" x14ac:dyDescent="0.35">
      <c r="A51" s="68" t="s">
        <v>57</v>
      </c>
      <c r="B51" s="80">
        <f>SUMIF(Tracker!$U$9:$U$491, A51, Tracker!$H$9:$H$491)+SUMIF(Tracker!$U$9:$U$491, A51, Tracker!$I$9:$I$491)</f>
        <v>7357.396671030484</v>
      </c>
      <c r="C51" s="70"/>
      <c r="D51" s="82"/>
      <c r="E51" s="72"/>
      <c r="F51" s="84"/>
    </row>
    <row r="52" spans="1:6" ht="25" customHeight="1" x14ac:dyDescent="0.35">
      <c r="A52" s="68" t="s">
        <v>61</v>
      </c>
      <c r="B52" s="80">
        <f>SUMIF(Tracker!$U$9:$U$491, A52, Tracker!$H$9:$H$491)+SUMIF(Tracker!$U$9:$U$491, A52, Tracker!$I$9:$I$491)</f>
        <v>19497.101178230783</v>
      </c>
      <c r="C52" s="70"/>
      <c r="D52" s="82"/>
      <c r="E52" s="72"/>
      <c r="F52" s="84"/>
    </row>
    <row r="53" spans="1:6" ht="25" customHeight="1" x14ac:dyDescent="0.35">
      <c r="A53" s="69" t="s">
        <v>65</v>
      </c>
      <c r="B53" s="149">
        <f>SUMIF(Tracker!$U$9:$U$491, A53, Tracker!$H$9:$H$491)+SUMIF(Tracker!$U$9:$U$491, A53, Tracker!$I$9:$I$491)</f>
        <v>26854.497849261268</v>
      </c>
      <c r="C53" s="71"/>
      <c r="D53" s="83"/>
      <c r="E53" s="73"/>
      <c r="F53" s="85"/>
    </row>
    <row r="54" spans="1:6" ht="25" customHeight="1" x14ac:dyDescent="0.35">
      <c r="A54" s="89" t="s">
        <v>306</v>
      </c>
      <c r="B54" s="90">
        <f>SUMIF(Tracker!$U$9:$U$491, A54, Tracker!$H$9:$H$491)+SUMIF(Tracker!$U$9:$U$491, A54, Tracker!$I$9:$I$491)</f>
        <v>14057.471479334206</v>
      </c>
    </row>
    <row r="55" spans="1:6" ht="25" customHeight="1" x14ac:dyDescent="0.35">
      <c r="A55" s="89" t="s">
        <v>42</v>
      </c>
      <c r="B55" s="90">
        <f>SUMIF(Tracker!$U$9:$U$491, A55, Tracker!$H$9:$H$491)+SUMIF(Tracker!$U$9:$U$491, A55, Tracker!$I$9:$I$491)</f>
        <v>34700</v>
      </c>
    </row>
    <row r="56" spans="1:6" ht="25" customHeight="1" x14ac:dyDescent="0.35">
      <c r="A56" s="89" t="s">
        <v>43</v>
      </c>
      <c r="B56" s="90">
        <f>SUMIF(Tracker!$U$9:$U$491, A56, Tracker!$H$9:$H$491)+SUMIF(Tracker!$U$9:$U$491, A56, Tracker!$I$9:$I$491)</f>
        <v>19323.279409014398</v>
      </c>
    </row>
    <row r="57" spans="1:6" ht="25" customHeight="1" x14ac:dyDescent="0.35">
      <c r="A57" s="89" t="s">
        <v>305</v>
      </c>
      <c r="B57" s="90">
        <f>SUMIF(Tracker!$U$9:$U$491, A57, Tracker!$H$9:$H$491)+SUMIF(Tracker!$U$9:$U$491, A57, Tracker!$I$9:$I$491)</f>
        <v>79887.581821582193</v>
      </c>
    </row>
    <row r="58" spans="1:6" ht="25" customHeight="1" x14ac:dyDescent="0.35">
      <c r="A58" s="89" t="s">
        <v>255</v>
      </c>
      <c r="B58" s="90">
        <f>SUMIF(Tracker!$U$9:$U$491, A58, Tracker!$H$9:$H$491)+SUMIF(Tracker!$U$9:$U$491, A58, Tracker!$I$9:$I$491)</f>
        <v>10286.141761735553</v>
      </c>
    </row>
    <row r="59" spans="1:6" ht="25" customHeight="1" x14ac:dyDescent="0.35">
      <c r="A59" s="89" t="s">
        <v>95</v>
      </c>
      <c r="B59" s="90">
        <f>SUMIF(Tracker!$U$9:$U$491, A59, Tracker!$H$9:$H$491)+SUMIF(Tracker!$U$9:$U$491, A59, Tracker!$I$9:$I$491)</f>
        <v>10543.103609500655</v>
      </c>
    </row>
    <row r="60" spans="1:6" ht="25" customHeight="1" x14ac:dyDescent="0.35">
      <c r="A60" s="89" t="s">
        <v>90</v>
      </c>
      <c r="B60" s="90">
        <f>SUMIF(Tracker!$U$9:$U$491, A60, Tracker!$H$9:$H$491)+SUMIF(Tracker!$U$9:$U$491, A60, Tracker!$I$9:$I$491)</f>
        <v>12171.713110155226</v>
      </c>
    </row>
    <row r="61" spans="1:6" ht="25" customHeight="1" x14ac:dyDescent="0.35">
      <c r="A61" s="89" t="s">
        <v>89</v>
      </c>
      <c r="B61" s="90">
        <f>SUMIF(Tracker!$U$9:$U$491, A61, Tracker!$H$9:$H$491)+SUMIF(Tracker!$U$9:$U$491, A61, Tracker!$I$9:$I$491)</f>
        <v>12171.713110155226</v>
      </c>
    </row>
    <row r="62" spans="1:6" ht="25" customHeight="1" x14ac:dyDescent="0.35">
      <c r="A62" s="89" t="s">
        <v>46</v>
      </c>
      <c r="B62" s="90">
        <f>SUMIF(Tracker!$U$9:$U$491, A62, Tracker!$H$9:$H$491)+SUMIF(Tracker!$U$9:$U$491, A62, Tracker!$I$9:$I$491)</f>
        <v>32004.6755189826</v>
      </c>
    </row>
    <row r="63" spans="1:6" ht="25" customHeight="1" x14ac:dyDescent="0.35">
      <c r="A63" s="89" t="s">
        <v>47</v>
      </c>
      <c r="B63" s="90">
        <f>SUMIF(Tracker!$U$9:$U$491, A63, Tracker!$H$9:$H$491)+SUMIF(Tracker!$U$9:$U$491, A63, Tracker!$I$9:$I$491)</f>
        <v>21557.172246119317</v>
      </c>
    </row>
    <row r="64" spans="1:6" ht="25" customHeight="1" x14ac:dyDescent="0.35">
      <c r="A64" s="89" t="s">
        <v>48</v>
      </c>
      <c r="B64" s="90">
        <f>SUMIF(Tracker!$U$9:$U$491, A64, Tracker!$H$9:$H$491)+SUMIF(Tracker!$U$9:$U$491, A64, Tracker!$I$9:$I$491)</f>
        <v>21557.172246119317</v>
      </c>
    </row>
    <row r="65" spans="1:2" ht="25" customHeight="1" x14ac:dyDescent="0.35">
      <c r="A65" s="89" t="s">
        <v>50</v>
      </c>
      <c r="B65" s="90">
        <f>SUMIF(Tracker!$U$9:$U$491, A65, Tracker!$H$9:$H$491)+SUMIF(Tracker!$U$9:$U$491, A65, Tracker!$I$9:$I$491)</f>
        <v>21557.172246119317</v>
      </c>
    </row>
    <row r="66" spans="1:2" ht="25" customHeight="1" x14ac:dyDescent="0.35">
      <c r="A66" s="89" t="s">
        <v>51</v>
      </c>
      <c r="B66" s="90">
        <f>SUMIF(Tracker!$U$9:$U$491, A66, Tracker!$H$9:$H$491)+SUMIF(Tracker!$U$9:$U$491, A66, Tracker!$I$9:$I$491)</f>
        <v>34358.378530016831</v>
      </c>
    </row>
    <row r="67" spans="1:2" ht="25" customHeight="1" x14ac:dyDescent="0.35">
      <c r="A67" s="89" t="s">
        <v>53</v>
      </c>
      <c r="B67" s="90">
        <f>SUMIF(Tracker!$U$9:$U$491, A67, Tracker!$H$9:$H$491)+SUMIF(Tracker!$U$9:$U$491, A67, Tracker!$I$9:$I$491)</f>
        <v>47544.567046942218</v>
      </c>
    </row>
    <row r="68" spans="1:2" ht="25" customHeight="1" x14ac:dyDescent="0.35">
      <c r="A68" s="89" t="s">
        <v>91</v>
      </c>
      <c r="B68" s="90">
        <f>SUMIF(Tracker!$U$9:$U$491, A68, Tracker!$H$9:$H$491)+SUMIF(Tracker!$U$9:$U$491, A68, Tracker!$I$9:$I$491)</f>
        <v>10971.685057041332</v>
      </c>
    </row>
    <row r="69" spans="1:2" ht="25" customHeight="1" x14ac:dyDescent="0.35">
      <c r="A69" s="89" t="s">
        <v>94</v>
      </c>
      <c r="B69" s="90">
        <f>SUMIF(Tracker!$U$9:$U$491, A69, Tracker!$H$9:$H$491)+SUMIF(Tracker!$U$9:$U$491, A69, Tracker!$I$9:$I$491)</f>
        <v>10543.103609500655</v>
      </c>
    </row>
    <row r="70" spans="1:2" ht="25" customHeight="1" x14ac:dyDescent="0.35">
      <c r="A70" s="89" t="s">
        <v>44</v>
      </c>
      <c r="B70" s="90">
        <f>SUMIF(Tracker!$U$9:$U$491, A70, Tracker!$H$9:$H$491)+SUMIF(Tracker!$U$9:$U$491, A70, Tracker!$I$9:$I$491)</f>
        <v>0</v>
      </c>
    </row>
    <row r="71" spans="1:2" ht="25" customHeight="1" x14ac:dyDescent="0.35">
      <c r="A71" s="89" t="s">
        <v>56</v>
      </c>
      <c r="B71" s="90">
        <f>SUMIF(Tracker!$U$9:$U$491, A71, Tracker!$H$9:$H$491)+SUMIF(Tracker!$U$9:$U$491, A71, Tracker!$I$9:$I$491)</f>
        <v>19497.101178230783</v>
      </c>
    </row>
    <row r="72" spans="1:2" ht="25" customHeight="1" x14ac:dyDescent="0.35">
      <c r="A72" s="89" t="s">
        <v>54</v>
      </c>
      <c r="B72" s="90">
        <f>SUMIF(Tracker!$U$9:$U$491, A72, Tracker!$H$9:$H$491)+SUMIF(Tracker!$U$9:$U$491, A72, Tracker!$I$9:$I$491)</f>
        <v>10447.503272863287</v>
      </c>
    </row>
    <row r="73" spans="1:2" ht="25" customHeight="1" x14ac:dyDescent="0.35">
      <c r="A73" s="89" t="s">
        <v>58</v>
      </c>
      <c r="B73" s="90">
        <f>SUMIF(Tracker!$U$9:$U$491, A73, Tracker!$H$9:$H$491)+SUMIF(Tracker!$U$9:$U$491, A73, Tracker!$I$9:$I$491)</f>
        <v>20336.445670469424</v>
      </c>
    </row>
    <row r="74" spans="1:2" ht="25" customHeight="1" x14ac:dyDescent="0.35">
      <c r="A74" s="89" t="s">
        <v>60</v>
      </c>
      <c r="B74" s="90">
        <f>SUMIF(Tracker!$U$9:$U$491, A74, Tracker!$H$9:$H$491)+SUMIF(Tracker!$U$9:$U$491, A74, Tracker!$I$9:$I$491)</f>
        <v>20336.445670469424</v>
      </c>
    </row>
    <row r="75" spans="1:2" ht="25" customHeight="1" x14ac:dyDescent="0.35">
      <c r="A75" s="89" t="s">
        <v>63</v>
      </c>
      <c r="B75" s="90">
        <f>SUMIF(Tracker!$U$9:$U$491, A75, Tracker!$H$9:$H$491)+SUMIF(Tracker!$U$9:$U$491, A75, Tracker!$I$9:$I$491)</f>
        <v>19497.101178230783</v>
      </c>
    </row>
    <row r="76" spans="1:2" ht="25" customHeight="1" x14ac:dyDescent="0.35">
      <c r="A76" s="89" t="s">
        <v>66</v>
      </c>
      <c r="B76" s="90">
        <f>SUMIF(Tracker!$U$9:$U$491, A76, Tracker!$H$9:$H$491)+SUMIF(Tracker!$U$9:$U$491, A76, Tracker!$I$9:$I$491)</f>
        <v>0</v>
      </c>
    </row>
    <row r="77" spans="1:2" ht="25" customHeight="1" x14ac:dyDescent="0.35">
      <c r="A77" s="89" t="s">
        <v>67</v>
      </c>
      <c r="B77" s="90">
        <f>SUMIF(Tracker!$U$9:$U$491, A77, Tracker!$H$9:$H$491)+SUMIF(Tracker!$U$9:$U$491, A77, Tracker!$I$9:$I$491)</f>
        <v>0</v>
      </c>
    </row>
    <row r="78" spans="1:2" ht="25" customHeight="1" x14ac:dyDescent="0.35">
      <c r="A78" s="89" t="s">
        <v>71</v>
      </c>
      <c r="B78" s="90">
        <f>SUMIF(Tracker!$U$9:$U$491, A78, Tracker!$H$9:$H$491)+SUMIF(Tracker!$U$9:$U$491, A78, Tracker!$I$9:$I$491)</f>
        <v>48229.698896577516</v>
      </c>
    </row>
    <row r="79" spans="1:2" ht="25" customHeight="1" x14ac:dyDescent="0.35">
      <c r="A79" s="89" t="s">
        <v>73</v>
      </c>
      <c r="B79" s="90">
        <f>SUMIF(Tracker!$U$9:$U$491, A79, Tracker!$H$9:$H$491)+SUMIF(Tracker!$U$9:$U$491, A79, Tracker!$I$9:$I$491)</f>
        <v>23900</v>
      </c>
    </row>
    <row r="80" spans="1:2" ht="25" customHeight="1" x14ac:dyDescent="0.35">
      <c r="A80" s="89" t="s">
        <v>74</v>
      </c>
      <c r="B80" s="90">
        <f>SUMIF(Tracker!$U$9:$U$491, A80, Tracker!$H$9:$H$491)+SUMIF(Tracker!$U$9:$U$491, A80, Tracker!$I$9:$I$491)</f>
        <v>0</v>
      </c>
    </row>
    <row r="81" spans="1:2" ht="25" customHeight="1" x14ac:dyDescent="0.35">
      <c r="A81" s="89" t="s">
        <v>75</v>
      </c>
      <c r="B81" s="90">
        <f>SUMIF(Tracker!$U$9:$U$491, A81, Tracker!$H$9:$H$491)+SUMIF(Tracker!$U$9:$U$491, A81, Tracker!$I$9:$I$491)</f>
        <v>12171.713110155226</v>
      </c>
    </row>
    <row r="82" spans="1:2" ht="25" customHeight="1" x14ac:dyDescent="0.35">
      <c r="A82" s="89" t="s">
        <v>77</v>
      </c>
      <c r="B82" s="90">
        <f>SUMIF(Tracker!$U$9:$U$491, A82, Tracker!$H$9:$H$491)+SUMIF(Tracker!$U$9:$U$491, A82, Tracker!$I$9:$I$491)</f>
        <v>31043.458948943335</v>
      </c>
    </row>
    <row r="83" spans="1:2" ht="25" customHeight="1" x14ac:dyDescent="0.35">
      <c r="A83" s="89" t="s">
        <v>78</v>
      </c>
      <c r="B83" s="90">
        <f>SUMIF(Tracker!$U$9:$U$491, A83, Tracker!$H$9:$H$491)+SUMIF(Tracker!$U$9:$U$491, A83, Tracker!$I$9:$I$491)</f>
        <v>31043.458948943335</v>
      </c>
    </row>
    <row r="84" spans="1:2" ht="25" customHeight="1" x14ac:dyDescent="0.35">
      <c r="A84" s="89" t="s">
        <v>79</v>
      </c>
      <c r="B84" s="90">
        <f>SUMIF(Tracker!$U$9:$U$491, A84, Tracker!$H$9:$H$491)+SUMIF(Tracker!$U$9:$U$491, A84, Tracker!$I$9:$I$491)</f>
        <v>28972.470544230411</v>
      </c>
    </row>
    <row r="85" spans="1:2" ht="25" customHeight="1" x14ac:dyDescent="0.35">
      <c r="A85" s="89" t="s">
        <v>80</v>
      </c>
      <c r="B85" s="90">
        <f>SUMIF(Tracker!$U$9:$U$491, A85, Tracker!$H$9:$H$491)+SUMIF(Tracker!$U$9:$U$491, A85, Tracker!$I$9:$I$491)</f>
        <v>13186.18851692538</v>
      </c>
    </row>
    <row r="86" spans="1:2" ht="25" customHeight="1" x14ac:dyDescent="0.35">
      <c r="A86" s="89" t="s">
        <v>81</v>
      </c>
      <c r="B86" s="90">
        <f>SUMIF(Tracker!$U$9:$U$491, A86, Tracker!$H$9:$H$491)+SUMIF(Tracker!$U$9:$U$491, A86, Tracker!$I$9:$I$491)</f>
        <v>46400</v>
      </c>
    </row>
    <row r="87" spans="1:2" ht="25" customHeight="1" x14ac:dyDescent="0.35">
      <c r="A87" s="89" t="s">
        <v>82</v>
      </c>
      <c r="B87" s="90">
        <f>SUMIF(Tracker!$U$9:$U$491, A87, Tracker!$H$9:$H$491)+SUMIF(Tracker!$U$9:$U$491, A87, Tracker!$I$9:$I$491)</f>
        <v>46400</v>
      </c>
    </row>
    <row r="88" spans="1:2" ht="25" customHeight="1" x14ac:dyDescent="0.35">
      <c r="A88" s="89" t="s">
        <v>83</v>
      </c>
      <c r="B88" s="90">
        <f>SUMIF(Tracker!$U$9:$U$491, A88, Tracker!$H$9:$H$491)+SUMIF(Tracker!$U$9:$U$491, A88, Tracker!$I$9:$I$491)</f>
        <v>38900</v>
      </c>
    </row>
    <row r="89" spans="1:2" ht="25" customHeight="1" x14ac:dyDescent="0.35">
      <c r="A89" s="89" t="s">
        <v>84</v>
      </c>
      <c r="B89" s="90">
        <f>SUMIF(Tracker!$U$9:$U$491, A89, Tracker!$H$9:$H$491)+SUMIF(Tracker!$U$9:$U$491, A89, Tracker!$I$9:$I$491)</f>
        <v>36677.454647465871</v>
      </c>
    </row>
    <row r="90" spans="1:2" ht="25" customHeight="1" x14ac:dyDescent="0.35">
      <c r="A90" s="89" t="s">
        <v>85</v>
      </c>
      <c r="B90" s="90">
        <f>SUMIF(Tracker!$U$9:$U$491, A90, Tracker!$H$9:$H$491)+SUMIF(Tracker!$U$9:$U$491, A90, Tracker!$I$9:$I$491)</f>
        <v>20648.74696091266</v>
      </c>
    </row>
    <row r="91" spans="1:2" ht="25" customHeight="1" x14ac:dyDescent="0.35">
      <c r="A91" s="89" t="s">
        <v>96</v>
      </c>
      <c r="B91" s="90">
        <f>SUMIF(Tracker!$U$9:$U$491, A91, Tracker!$H$9:$H$491)+SUMIF(Tracker!$U$9:$U$491, A91, Tracker!$I$9:$I$491)</f>
        <v>0</v>
      </c>
    </row>
    <row r="92" spans="1:2" ht="25" customHeight="1" x14ac:dyDescent="0.35">
      <c r="A92" s="89" t="s">
        <v>319</v>
      </c>
      <c r="B92" s="90">
        <f>SUMIF(Tracker!$U$9:$U$491, A92, Tracker!$H$9:$H$491)+SUMIF(Tracker!$U$9:$U$491, A92, Tracker!$I$9:$I$491)</f>
        <v>10142.762296614925</v>
      </c>
    </row>
    <row r="93" spans="1:2" ht="25" customHeight="1" x14ac:dyDescent="0.35">
      <c r="A93" s="89" t="s">
        <v>307</v>
      </c>
      <c r="B93" s="90">
        <f>SUMIF(Tracker!$U$9:$U$491, A93, Tracker!$H$9:$H$491)+SUMIF(Tracker!$U$9:$U$491, A93, Tracker!$I$9:$I$491)</f>
        <v>0</v>
      </c>
    </row>
    <row r="94" spans="1:2" ht="25" customHeight="1" x14ac:dyDescent="0.35">
      <c r="A94" s="89" t="s">
        <v>308</v>
      </c>
      <c r="B94" s="90">
        <f>SUMIF(Tracker!$U$9:$U$491, A94, Tracker!$H$9:$H$491)+SUMIF(Tracker!$U$9:$U$491, A94, Tracker!$I$9:$I$491)</f>
        <v>0</v>
      </c>
    </row>
    <row r="95" spans="1:2" ht="25" customHeight="1" x14ac:dyDescent="0.35">
      <c r="A95" s="89" t="s">
        <v>301</v>
      </c>
      <c r="B95" s="90">
        <f>SUMIF(Tracker!$U$9:$U$491, A95, Tracker!$H$9:$H$491)+SUMIF(Tracker!$U$9:$U$491, A95, Tracker!$I$9:$I$491)</f>
        <v>0</v>
      </c>
    </row>
    <row r="96" spans="1:2" ht="25" customHeight="1" x14ac:dyDescent="0.35">
      <c r="A96" s="89" t="s">
        <v>302</v>
      </c>
      <c r="B96" s="90">
        <f>SUMIF(Tracker!$U$9:$U$491, A96, Tracker!$H$9:$H$491)+SUMIF(Tracker!$U$9:$U$491, A96, Tracker!$I$9:$I$491)</f>
        <v>0</v>
      </c>
    </row>
    <row r="97" spans="1:9" ht="25" customHeight="1" x14ac:dyDescent="0.35">
      <c r="A97" s="89" t="s">
        <v>303</v>
      </c>
      <c r="B97" s="90">
        <f>SUMIF(Tracker!$U$9:$U$491, A97, Tracker!$H$9:$H$491)+SUMIF(Tracker!$U$9:$U$491, A97, Tracker!$I$9:$I$491)</f>
        <v>0</v>
      </c>
    </row>
    <row r="99" spans="1:9" ht="25" customHeight="1" x14ac:dyDescent="0.35">
      <c r="A99" s="8" t="s">
        <v>305</v>
      </c>
      <c r="B99" s="152">
        <f>SUMIF(Tracker!$U$9:$U$491, A99, Tracker!$H$9:$H$491)+SUMIF(Tracker!$U$9:$U$491, A99, Tracker!$I$9:$I$491)</f>
        <v>79887.581821582193</v>
      </c>
      <c r="C99" s="8">
        <f>SUMIF(Tracker!$U$9:$U$491, A99, Tracker!$J$9:$J$491)</f>
        <v>385.15186085655506</v>
      </c>
      <c r="E99" s="8" t="s">
        <v>73</v>
      </c>
      <c r="F99" s="91">
        <f>SUMIF(Tracker!$U$9:$U$491, E99, Tracker!$H$9:$H$491)+SUMIF(Tracker!$U$9:$U$491, E99, Tracker!$I$9:$I$491)</f>
        <v>23900</v>
      </c>
      <c r="G99" s="8">
        <f>SUMIF(Tracker!$U$9:$U$491, E99, Tracker!$J$9:$J$491)</f>
        <v>72</v>
      </c>
      <c r="H99" s="49">
        <v>100</v>
      </c>
      <c r="I99" s="8">
        <v>100</v>
      </c>
    </row>
    <row r="100" spans="1:9" ht="25" customHeight="1" x14ac:dyDescent="0.35">
      <c r="A100" s="8" t="s">
        <v>35</v>
      </c>
      <c r="B100" s="152">
        <f>SUMIF(Tracker!$U$9:$U$491, A100, Tracker!$H$9:$H$491)+SUMIF(Tracker!$U$9:$U$491, A100, Tracker!$I$9:$I$491)</f>
        <v>61944.305217879184</v>
      </c>
      <c r="C100" s="8">
        <f>SUMIF(Tracker!$U$9:$U$491, A100, Tracker!$J$9:$J$491)</f>
        <v>285.72096502711798</v>
      </c>
      <c r="E100" s="8" t="s">
        <v>305</v>
      </c>
      <c r="F100" s="91">
        <f>SUMIF(Tracker!$U$9:$U$491, E100, Tracker!$H$9:$H$491)+SUMIF(Tracker!$U$9:$U$491, E100, Tracker!$I$9:$I$491)</f>
        <v>79887.581821582193</v>
      </c>
      <c r="G100" s="8">
        <f>SUMIF(Tracker!$U$9:$U$491, E100, Tracker!$J$9:$J$491)</f>
        <v>385.15186085655506</v>
      </c>
      <c r="H100" s="49">
        <f t="shared" ref="H100:H163" si="3">80*((F100/52000)+(G100/210))/2</f>
        <v>134.81424522737407</v>
      </c>
      <c r="I100" s="49">
        <f>H100</f>
        <v>134.81424522737407</v>
      </c>
    </row>
    <row r="101" spans="1:9" ht="25" customHeight="1" x14ac:dyDescent="0.35">
      <c r="A101" s="8" t="s">
        <v>71</v>
      </c>
      <c r="B101" s="152">
        <f>SUMIF(Tracker!$U$9:$U$491, A101, Tracker!$H$9:$H$491)+SUMIF(Tracker!$U$9:$U$491, A101, Tracker!$I$9:$I$491)</f>
        <v>48229.698896577516</v>
      </c>
      <c r="C101" s="8">
        <f>SUMIF(Tracker!$U$9:$U$491, A101, Tracker!$J$9:$J$491)</f>
        <v>195.43314007854875</v>
      </c>
      <c r="E101" s="8" t="s">
        <v>35</v>
      </c>
      <c r="F101" s="91">
        <f>SUMIF(Tracker!$U$9:$U$491, E101, Tracker!$H$9:$H$491)+SUMIF(Tracker!$U$9:$U$491, E101, Tracker!$I$9:$I$491)</f>
        <v>61944.305217879184</v>
      </c>
      <c r="G101" s="8">
        <f>SUMIF(Tracker!$U$9:$U$491, E101, Tracker!$J$9:$J$491)</f>
        <v>285.72096502711798</v>
      </c>
      <c r="H101" s="49">
        <f t="shared" si="3"/>
        <v>102.07250650976104</v>
      </c>
      <c r="I101" s="8">
        <f>H101*(21600/VLOOKUP(E101, Tracker!$U$9:$W$491, 3, FALSE))</f>
        <v>100.21664275503811</v>
      </c>
    </row>
    <row r="102" spans="1:9" ht="25" customHeight="1" x14ac:dyDescent="0.35">
      <c r="A102" s="8" t="s">
        <v>53</v>
      </c>
      <c r="B102" s="152">
        <f>SUMIF(Tracker!$U$9:$U$491, A102, Tracker!$H$9:$H$491)+SUMIF(Tracker!$U$9:$U$491, A102, Tracker!$I$9:$I$491)</f>
        <v>47544.567046942218</v>
      </c>
      <c r="C102" s="8">
        <f>SUMIF(Tracker!$U$9:$U$491, A102, Tracker!$J$9:$J$491)</f>
        <v>232.15120628389752</v>
      </c>
      <c r="E102" s="8" t="s">
        <v>68</v>
      </c>
      <c r="F102" s="91">
        <f>SUMIF(Tracker!$U$9:$U$491, E102, Tracker!$H$9:$H$491)+SUMIF(Tracker!$U$9:$U$491, E102, Tracker!$I$9:$I$491)</f>
        <v>47000</v>
      </c>
      <c r="G102" s="8">
        <f>SUMIF(Tracker!$U$9:$U$491, E102, Tracker!$J$9:$J$491)</f>
        <v>242</v>
      </c>
      <c r="H102" s="49">
        <f t="shared" si="3"/>
        <v>82.249084249084234</v>
      </c>
      <c r="I102" s="8">
        <f>H102*(21600/VLOOKUP(E102, Tracker!$U$9:$W$491, 3, FALSE))</f>
        <v>88.829010989010982</v>
      </c>
    </row>
    <row r="103" spans="1:9" ht="25" customHeight="1" x14ac:dyDescent="0.35">
      <c r="A103" s="8" t="s">
        <v>68</v>
      </c>
      <c r="B103" s="152">
        <f>SUMIF(Tracker!$U$9:$U$491, A103, Tracker!$H$9:$H$491)+SUMIF(Tracker!$U$9:$U$491, A103, Tracker!$I$9:$I$491)</f>
        <v>47000</v>
      </c>
      <c r="C103" s="8">
        <f>SUMIF(Tracker!$U$9:$U$491, A103, Tracker!$J$9:$J$491)</f>
        <v>242</v>
      </c>
      <c r="E103" s="8" t="s">
        <v>29</v>
      </c>
      <c r="F103" s="91">
        <f>SUMIF(Tracker!$U$9:$U$491, E103, Tracker!$H$9:$H$491)+SUMIF(Tracker!$U$9:$U$491, E103, Tracker!$I$9:$I$491)</f>
        <v>44842.341499906484</v>
      </c>
      <c r="G103" s="8">
        <f>SUMIF(Tracker!$U$9:$U$491, E103, Tracker!$J$9:$J$491)</f>
        <v>249.46773891902001</v>
      </c>
      <c r="H103" s="49">
        <f t="shared" si="3"/>
        <v>82.011773402085723</v>
      </c>
      <c r="I103" s="8">
        <f>H103*(21600/VLOOKUP(E103, Tracker!$U$9:$W$491, 3, FALSE))</f>
        <v>88.572715274252587</v>
      </c>
    </row>
    <row r="104" spans="1:9" ht="25" customHeight="1" x14ac:dyDescent="0.35">
      <c r="A104" s="8" t="s">
        <v>82</v>
      </c>
      <c r="B104" s="152">
        <f>SUMIF(Tracker!$U$9:$U$491, A104, Tracker!$H$9:$H$491)+SUMIF(Tracker!$U$9:$U$491, A104, Tracker!$I$9:$I$491)</f>
        <v>46400</v>
      </c>
      <c r="C104" s="8">
        <f>SUMIF(Tracker!$U$9:$U$491, A104, Tracker!$J$9:$J$491)</f>
        <v>179</v>
      </c>
      <c r="E104" s="8" t="s">
        <v>53</v>
      </c>
      <c r="F104" s="91">
        <f>SUMIF(Tracker!$U$9:$U$491, E104, Tracker!$H$9:$H$491)+SUMIF(Tracker!$U$9:$U$491, E104, Tracker!$I$9:$I$491)</f>
        <v>47544.567046942218</v>
      </c>
      <c r="G104" s="8">
        <f>SUMIF(Tracker!$U$9:$U$491, E104, Tracker!$J$9:$J$491)</f>
        <v>232.15120628389752</v>
      </c>
      <c r="H104" s="49">
        <f t="shared" si="3"/>
        <v>80.792021269672304</v>
      </c>
      <c r="I104" s="8">
        <f>H104*(21600/VLOOKUP(E104, Tracker!$U$9:$W$491, 3, FALSE))</f>
        <v>87.255382971246092</v>
      </c>
    </row>
    <row r="105" spans="1:9" ht="25" customHeight="1" x14ac:dyDescent="0.35">
      <c r="A105" s="8" t="s">
        <v>81</v>
      </c>
      <c r="B105" s="152">
        <f>SUMIF(Tracker!$U$9:$U$491, A105, Tracker!$H$9:$H$491)+SUMIF(Tracker!$U$9:$U$491, A105, Tracker!$I$9:$I$491)</f>
        <v>46400</v>
      </c>
      <c r="C105" s="8">
        <f>SUMIF(Tracker!$U$9:$U$491, A105, Tracker!$J$9:$J$491)</f>
        <v>179</v>
      </c>
      <c r="E105" s="8" t="s">
        <v>82</v>
      </c>
      <c r="F105" s="91">
        <f>SUMIF(Tracker!$U$9:$U$491, E105, Tracker!$H$9:$H$491)+SUMIF(Tracker!$U$9:$U$491, E105, Tracker!$I$9:$I$491)</f>
        <v>46400</v>
      </c>
      <c r="G105" s="8">
        <f>SUMIF(Tracker!$U$9:$U$491, E105, Tracker!$J$9:$J$491)</f>
        <v>179</v>
      </c>
      <c r="H105" s="49">
        <f t="shared" si="3"/>
        <v>69.787545787545781</v>
      </c>
      <c r="I105" s="8">
        <f>H105*(21600/VLOOKUP(E105, Tracker!$U$9:$W$491, 3, FALSE))</f>
        <v>75.370549450549447</v>
      </c>
    </row>
    <row r="106" spans="1:9" ht="25" customHeight="1" x14ac:dyDescent="0.35">
      <c r="A106" s="8" t="s">
        <v>29</v>
      </c>
      <c r="B106" s="152">
        <f>SUMIF(Tracker!$U$9:$U$491, A106, Tracker!$H$9:$H$491)+SUMIF(Tracker!$U$9:$U$491, A106, Tracker!$I$9:$I$491)</f>
        <v>44842.341499906484</v>
      </c>
      <c r="C106" s="8">
        <f>SUMIF(Tracker!$U$9:$U$491, A106, Tracker!$J$9:$J$491)</f>
        <v>249.46773891902001</v>
      </c>
      <c r="E106" s="8" t="s">
        <v>46</v>
      </c>
      <c r="F106" s="91">
        <f>SUMIF(Tracker!$U$9:$U$491, E106, Tracker!$H$9:$H$491)+SUMIF(Tracker!$U$9:$U$491, E106, Tracker!$I$9:$I$491)</f>
        <v>32004.6755189826</v>
      </c>
      <c r="G106" s="8">
        <f>SUMIF(Tracker!$U$9:$U$491, E106, Tracker!$J$9:$J$491)</f>
        <v>178.04899943893773</v>
      </c>
      <c r="H106" s="49">
        <f t="shared" si="3"/>
        <v>58.533076299674391</v>
      </c>
      <c r="I106" s="8">
        <f>H106*(21600/VLOOKUP(E106, Tracker!$U$9:$W$491, 3, FALSE))</f>
        <v>70.23969155960927</v>
      </c>
    </row>
    <row r="107" spans="1:9" ht="25" customHeight="1" x14ac:dyDescent="0.35">
      <c r="A107" s="8" t="s">
        <v>16</v>
      </c>
      <c r="B107" s="152">
        <f>SUMIF(Tracker!$U$9:$U$491, A107, Tracker!$H$9:$H$491)+SUMIF(Tracker!$U$9:$U$491, A107, Tracker!$I$9:$I$491)</f>
        <v>44460</v>
      </c>
      <c r="C107" s="8">
        <f>SUMIF(Tracker!$U$9:$U$491, A107, Tracker!$J$9:$J$491)</f>
        <v>204.1</v>
      </c>
      <c r="E107" s="8" t="s">
        <v>84</v>
      </c>
      <c r="F107" s="91">
        <f>SUMIF(Tracker!$U$9:$U$491, E107, Tracker!$H$9:$H$491)+SUMIF(Tracker!$U$9:$U$491, E107, Tracker!$I$9:$I$491)</f>
        <v>36677.454647465871</v>
      </c>
      <c r="G107" s="8">
        <f>SUMIF(Tracker!$U$9:$U$491, E107, Tracker!$J$9:$J$491)</f>
        <v>155.57275107536938</v>
      </c>
      <c r="H107" s="49">
        <f t="shared" si="3"/>
        <v>57.84633161863384</v>
      </c>
      <c r="I107" s="8">
        <f>H107*(21600/VLOOKUP(E107, Tracker!$U$9:$W$491, 3, FALSE))</f>
        <v>62.474038148124549</v>
      </c>
    </row>
    <row r="108" spans="1:9" ht="25" customHeight="1" x14ac:dyDescent="0.35">
      <c r="A108" s="8" t="s">
        <v>70</v>
      </c>
      <c r="B108" s="152">
        <f>SUMIF(Tracker!$U$9:$U$491, A108, Tracker!$H$9:$H$491)+SUMIF(Tracker!$U$9:$U$491, A108, Tracker!$I$9:$I$491)</f>
        <v>42400</v>
      </c>
      <c r="C108" s="8">
        <f>SUMIF(Tracker!$U$9:$U$491, A108, Tracker!$J$9:$J$491)</f>
        <v>165</v>
      </c>
      <c r="E108" s="8" t="s">
        <v>70</v>
      </c>
      <c r="F108" s="91">
        <f>SUMIF(Tracker!$U$9:$U$491, E108, Tracker!$H$9:$H$491)+SUMIF(Tracker!$U$9:$U$491, E108, Tracker!$I$9:$I$491)</f>
        <v>42400</v>
      </c>
      <c r="G108" s="8">
        <f>SUMIF(Tracker!$U$9:$U$491, E108, Tracker!$J$9:$J$491)</f>
        <v>165</v>
      </c>
      <c r="H108" s="49">
        <f t="shared" si="3"/>
        <v>64.043956043956044</v>
      </c>
      <c r="I108" s="8">
        <f>H108*(21600/VLOOKUP(E108, Tracker!$U$9:$W$491, 3, FALSE))</f>
        <v>69.167472527472526</v>
      </c>
    </row>
    <row r="109" spans="1:9" ht="25" customHeight="1" x14ac:dyDescent="0.35">
      <c r="A109" s="8" t="s">
        <v>83</v>
      </c>
      <c r="B109" s="152">
        <f>SUMIF(Tracker!$U$9:$U$491, A109, Tracker!$H$9:$H$491)+SUMIF(Tracker!$U$9:$U$491, A109, Tracker!$I$9:$I$491)</f>
        <v>38900</v>
      </c>
      <c r="C109" s="8">
        <f>SUMIF(Tracker!$U$9:$U$491, A109, Tracker!$J$9:$J$491)</f>
        <v>165</v>
      </c>
      <c r="E109" s="8" t="s">
        <v>30</v>
      </c>
      <c r="F109" s="91">
        <f>SUMIF(Tracker!$U$9:$U$491, E109, Tracker!$H$9:$H$491)+SUMIF(Tracker!$U$9:$U$491, E109, Tracker!$I$9:$I$491)</f>
        <v>32394.726014587621</v>
      </c>
      <c r="G109" s="8">
        <f>SUMIF(Tracker!$U$9:$U$491, E109, Tracker!$J$9:$J$491)</f>
        <v>163.01192257340563</v>
      </c>
      <c r="H109" s="49">
        <f t="shared" si="3"/>
        <v>55.968910025203265</v>
      </c>
      <c r="I109" s="8">
        <f>H109*(21600/VLOOKUP(E109, Tracker!$U$9:$W$491, 3, FALSE))</f>
        <v>60.446422827219529</v>
      </c>
    </row>
    <row r="110" spans="1:9" ht="25" customHeight="1" x14ac:dyDescent="0.35">
      <c r="A110" s="8" t="s">
        <v>84</v>
      </c>
      <c r="B110" s="152">
        <f>SUMIF(Tracker!$U$9:$U$491, A110, Tracker!$H$9:$H$491)+SUMIF(Tracker!$U$9:$U$491, A110, Tracker!$I$9:$I$491)</f>
        <v>36677.454647465871</v>
      </c>
      <c r="C110" s="8">
        <f>SUMIF(Tracker!$U$9:$U$491, A110, Tracker!$J$9:$J$491)</f>
        <v>155.57275107536938</v>
      </c>
      <c r="E110" s="8" t="s">
        <v>83</v>
      </c>
      <c r="F110" s="91">
        <f>SUMIF(Tracker!$U$9:$U$491, E110, Tracker!$H$9:$H$491)+SUMIF(Tracker!$U$9:$U$491, E110, Tracker!$I$9:$I$491)</f>
        <v>38900</v>
      </c>
      <c r="G110" s="8">
        <f>SUMIF(Tracker!$U$9:$U$491, E110, Tracker!$J$9:$J$491)</f>
        <v>165</v>
      </c>
      <c r="H110" s="49">
        <f t="shared" si="3"/>
        <v>61.35164835164835</v>
      </c>
      <c r="I110" s="8">
        <f>H110*(21600/VLOOKUP(E110, Tracker!$U$9:$W$491, 3, FALSE))</f>
        <v>66.259780219780225</v>
      </c>
    </row>
    <row r="111" spans="1:9" ht="25" customHeight="1" x14ac:dyDescent="0.35">
      <c r="A111" s="8" t="s">
        <v>42</v>
      </c>
      <c r="B111" s="152">
        <f>SUMIF(Tracker!$U$9:$U$491, A111, Tracker!$H$9:$H$491)+SUMIF(Tracker!$U$9:$U$491, A111, Tracker!$I$9:$I$491)</f>
        <v>34700</v>
      </c>
      <c r="C111" s="8">
        <f>SUMIF(Tracker!$U$9:$U$491, A111, Tracker!$J$9:$J$491)</f>
        <v>157</v>
      </c>
      <c r="E111" s="8" t="s">
        <v>77</v>
      </c>
      <c r="F111" s="91">
        <f>SUMIF(Tracker!$U$9:$U$491, E111, Tracker!$H$9:$H$491)+SUMIF(Tracker!$U$9:$U$491, E111, Tracker!$I$9:$I$491)</f>
        <v>31043.458948943335</v>
      </c>
      <c r="G111" s="8">
        <f>SUMIF(Tracker!$U$9:$U$491, E111, Tracker!$J$9:$J$491)</f>
        <v>174.546240882738</v>
      </c>
      <c r="H111" s="49">
        <f t="shared" si="3"/>
        <v>57.126486832162925</v>
      </c>
      <c r="I111" s="8">
        <f>H111*(21600/VLOOKUP(E111, Tracker!$U$9:$W$491, 3, FALSE))</f>
        <v>61.696605778735965</v>
      </c>
    </row>
    <row r="112" spans="1:9" ht="25" customHeight="1" x14ac:dyDescent="0.35">
      <c r="A112" s="8" t="s">
        <v>51</v>
      </c>
      <c r="B112" s="152">
        <f>SUMIF(Tracker!$U$9:$U$491, A112, Tracker!$H$9:$H$491)+SUMIF(Tracker!$U$9:$U$491, A112, Tracker!$I$9:$I$491)</f>
        <v>34358.378530016831</v>
      </c>
      <c r="C112" s="8">
        <f>SUMIF(Tracker!$U$9:$U$491, A112, Tracker!$J$9:$J$491)</f>
        <v>172.72049747521976</v>
      </c>
      <c r="E112" s="8" t="s">
        <v>78</v>
      </c>
      <c r="F112" s="91">
        <f>SUMIF(Tracker!$U$9:$U$491, E112, Tracker!$H$9:$H$491)+SUMIF(Tracker!$U$9:$U$491, E112, Tracker!$I$9:$I$491)</f>
        <v>31043.458948943335</v>
      </c>
      <c r="G112" s="8">
        <f>SUMIF(Tracker!$U$9:$U$491, E112, Tracker!$J$9:$J$491)</f>
        <v>174.546240882738</v>
      </c>
      <c r="H112" s="49">
        <f t="shared" si="3"/>
        <v>57.126486832162925</v>
      </c>
      <c r="I112" s="8">
        <f>H112*(21600/VLOOKUP(E112, Tracker!$U$9:$W$491, 3, FALSE))</f>
        <v>61.696605778735965</v>
      </c>
    </row>
    <row r="113" spans="1:9" ht="25" customHeight="1" x14ac:dyDescent="0.35">
      <c r="A113" s="8" t="s">
        <v>86</v>
      </c>
      <c r="B113" s="152">
        <f>SUMIF(Tracker!$U$9:$U$491, A113, Tracker!$H$9:$H$491)+SUMIF(Tracker!$U$9:$U$491, A113, Tracker!$I$9:$I$491)</f>
        <v>33545.99775575089</v>
      </c>
      <c r="C113" s="8">
        <f>SUMIF(Tracker!$U$9:$U$491, A113, Tracker!$J$9:$J$491)</f>
        <v>153.9977089956985</v>
      </c>
      <c r="E113" s="8" t="s">
        <v>31</v>
      </c>
      <c r="F113" s="91">
        <f>SUMIF(Tracker!$U$9:$U$491, E113, Tracker!$H$9:$H$491)+SUMIF(Tracker!$U$9:$U$491, E113, Tracker!$I$9:$I$491)</f>
        <v>27514.75126239012</v>
      </c>
      <c r="G113" s="8">
        <f>SUMIF(Tracker!$U$9:$U$491, E113, Tracker!$J$9:$J$491)</f>
        <v>154.70558256966524</v>
      </c>
      <c r="H113" s="49">
        <f t="shared" si="3"/>
        <v>50.632923292031208</v>
      </c>
      <c r="I113" s="8">
        <f>H113*(21600/VLOOKUP(E113, Tracker!$U$9:$W$491, 3, FALSE))</f>
        <v>54.683557155393707</v>
      </c>
    </row>
    <row r="114" spans="1:9" ht="25" customHeight="1" x14ac:dyDescent="0.35">
      <c r="A114" s="8" t="s">
        <v>30</v>
      </c>
      <c r="B114" s="152">
        <f>SUMIF(Tracker!$U$9:$U$491, A114, Tracker!$H$9:$H$491)+SUMIF(Tracker!$U$9:$U$491, A114, Tracker!$I$9:$I$491)</f>
        <v>32394.726014587621</v>
      </c>
      <c r="C114" s="8">
        <f>SUMIF(Tracker!$U$9:$U$491, A114, Tracker!$J$9:$J$491)</f>
        <v>163.01192257340563</v>
      </c>
      <c r="E114" s="8" t="s">
        <v>27</v>
      </c>
      <c r="F114" s="91">
        <f>SUMIF(Tracker!$U$9:$U$491, E114, Tracker!$H$9:$H$491)+SUMIF(Tracker!$U$9:$U$491, E114, Tracker!$I$9:$I$491)</f>
        <v>27317.748270057975</v>
      </c>
      <c r="G114" s="8">
        <f>SUMIF(Tracker!$U$9:$U$491, E114, Tracker!$J$9:$J$491)</f>
        <v>153.5979053674958</v>
      </c>
      <c r="H114" s="49">
        <f t="shared" si="3"/>
        <v>50.270396394952215</v>
      </c>
      <c r="I114" s="8">
        <f>H114*(21600/VLOOKUP(E114, Tracker!$U$9:$W$491, 3, FALSE))</f>
        <v>54.292028106548393</v>
      </c>
    </row>
    <row r="115" spans="1:9" ht="25" customHeight="1" x14ac:dyDescent="0.35">
      <c r="A115" s="8" t="s">
        <v>46</v>
      </c>
      <c r="B115" s="152">
        <f>SUMIF(Tracker!$U$9:$U$491, A115, Tracker!$H$9:$H$491)+SUMIF(Tracker!$U$9:$U$491, A115, Tracker!$I$9:$I$491)</f>
        <v>32004.6755189826</v>
      </c>
      <c r="C115" s="8">
        <f>SUMIF(Tracker!$U$9:$U$491, A115, Tracker!$J$9:$J$491)</f>
        <v>178.04899943893773</v>
      </c>
      <c r="E115" s="8" t="s">
        <v>86</v>
      </c>
      <c r="F115" s="91">
        <f>SUMIF(Tracker!$U$9:$U$491, E115, Tracker!$H$9:$H$491)+SUMIF(Tracker!$U$9:$U$491, E115, Tracker!$I$9:$I$491)</f>
        <v>33545.99775575089</v>
      </c>
      <c r="G115" s="8">
        <f>SUMIF(Tracker!$U$9:$U$491, E115, Tracker!$J$9:$J$491)</f>
        <v>153.9977089956985</v>
      </c>
      <c r="H115" s="49">
        <f t="shared" si="3"/>
        <v>55.137510609831537</v>
      </c>
      <c r="I115" s="8">
        <f>H115*(21600/VLOOKUP(E115, Tracker!$U$9:$W$491, 3, FALSE))</f>
        <v>59.548511458618066</v>
      </c>
    </row>
    <row r="116" spans="1:9" ht="25" customHeight="1" x14ac:dyDescent="0.35">
      <c r="A116" s="8" t="s">
        <v>77</v>
      </c>
      <c r="B116" s="152">
        <f>SUMIF(Tracker!$U$9:$U$491, A116, Tracker!$H$9:$H$491)+SUMIF(Tracker!$U$9:$U$491, A116, Tracker!$I$9:$I$491)</f>
        <v>31043.458948943335</v>
      </c>
      <c r="C116" s="8">
        <f>SUMIF(Tracker!$U$9:$U$491, A116, Tracker!$J$9:$J$491)</f>
        <v>174.546240882738</v>
      </c>
      <c r="E116" s="8" t="s">
        <v>47</v>
      </c>
      <c r="F116" s="91">
        <f>SUMIF(Tracker!$U$9:$U$491, E116, Tracker!$H$9:$H$491)+SUMIF(Tracker!$U$9:$U$491, E116, Tracker!$I$9:$I$491)</f>
        <v>21557.172246119317</v>
      </c>
      <c r="G116" s="8">
        <f>SUMIF(Tracker!$U$9:$U$491, E116, Tracker!$J$9:$J$491)</f>
        <v>130.96166074434262</v>
      </c>
      <c r="H116" s="49">
        <f t="shared" si="3"/>
        <v>41.527518426340194</v>
      </c>
      <c r="I116" s="8">
        <f>H116*(21600/VLOOKUP(E116, Tracker!$U$9:$W$491, 3, FALSE))</f>
        <v>49.83302211160823</v>
      </c>
    </row>
    <row r="117" spans="1:9" ht="25" customHeight="1" x14ac:dyDescent="0.35">
      <c r="A117" s="8" t="s">
        <v>78</v>
      </c>
      <c r="B117" s="152">
        <f>SUMIF(Tracker!$U$9:$U$491, A117, Tracker!$H$9:$H$491)+SUMIF(Tracker!$U$9:$U$491, A117, Tracker!$I$9:$I$491)</f>
        <v>31043.458948943335</v>
      </c>
      <c r="C117" s="8">
        <f>SUMIF(Tracker!$U$9:$U$491, A117, Tracker!$J$9:$J$491)</f>
        <v>174.546240882738</v>
      </c>
      <c r="E117" s="8" t="s">
        <v>50</v>
      </c>
      <c r="F117" s="91">
        <f>SUMIF(Tracker!$U$9:$U$491, E117, Tracker!$H$9:$H$491)+SUMIF(Tracker!$U$9:$U$491, E117, Tracker!$I$9:$I$491)</f>
        <v>21557.172246119317</v>
      </c>
      <c r="G117" s="8">
        <f>SUMIF(Tracker!$U$9:$U$491, E117, Tracker!$J$9:$J$491)</f>
        <v>130.96166074434262</v>
      </c>
      <c r="H117" s="49">
        <f t="shared" si="3"/>
        <v>41.527518426340194</v>
      </c>
      <c r="I117" s="8">
        <f>H117*(21600/VLOOKUP(E117, Tracker!$U$9:$W$491, 3, FALSE))</f>
        <v>49.83302211160823</v>
      </c>
    </row>
    <row r="118" spans="1:9" ht="25" customHeight="1" x14ac:dyDescent="0.35">
      <c r="A118" s="8" t="s">
        <v>79</v>
      </c>
      <c r="B118" s="152">
        <f>SUMIF(Tracker!$U$9:$U$491, A118, Tracker!$H$9:$H$491)+SUMIF(Tracker!$U$9:$U$491, A118, Tracker!$I$9:$I$491)</f>
        <v>28972.470544230411</v>
      </c>
      <c r="C118" s="8">
        <f>SUMIF(Tracker!$U$9:$U$491, A118, Tracker!$J$9:$J$491)</f>
        <v>145.79095754628764</v>
      </c>
      <c r="E118" s="8" t="s">
        <v>42</v>
      </c>
      <c r="F118" s="91">
        <f>SUMIF(Tracker!$U$9:$U$491, E118, Tracker!$H$9:$H$491)+SUMIF(Tracker!$U$9:$U$491, E118, Tracker!$I$9:$I$491)</f>
        <v>34700</v>
      </c>
      <c r="G118" s="8">
        <f>SUMIF(Tracker!$U$9:$U$491, E118, Tracker!$J$9:$J$491)</f>
        <v>157</v>
      </c>
      <c r="H118" s="49">
        <f t="shared" si="3"/>
        <v>56.597069597069591</v>
      </c>
      <c r="I118" s="8">
        <f>H118*(21600/VLOOKUP(E118, Tracker!$U$9:$W$491, 3, FALSE))</f>
        <v>56.597069597069591</v>
      </c>
    </row>
    <row r="119" spans="1:9" ht="25" customHeight="1" x14ac:dyDescent="0.35">
      <c r="A119" s="8" t="s">
        <v>18</v>
      </c>
      <c r="B119" s="152">
        <f>SUMIF(Tracker!$U$9:$U$491, A119, Tracker!$H$9:$H$491)+SUMIF(Tracker!$U$9:$U$491, A119, Tracker!$I$9:$I$491)</f>
        <v>28470</v>
      </c>
      <c r="C119" s="8">
        <f>SUMIF(Tracker!$U$9:$U$491, A119, Tracker!$J$9:$J$491)</f>
        <v>93.600000000000009</v>
      </c>
      <c r="E119" s="8" t="s">
        <v>71</v>
      </c>
      <c r="F119" s="91">
        <f>SUMIF(Tracker!$U$9:$U$491, E119, Tracker!$H$9:$H$491)+SUMIF(Tracker!$U$9:$U$491, E119, Tracker!$I$9:$I$491)</f>
        <v>48229.698896577516</v>
      </c>
      <c r="G119" s="8">
        <f>SUMIF(Tracker!$U$9:$U$491, E119, Tracker!$J$9:$J$491)</f>
        <v>195.43314007854875</v>
      </c>
      <c r="H119" s="49">
        <f t="shared" si="3"/>
        <v>74.325128396944379</v>
      </c>
      <c r="I119" s="8">
        <f>H119*(21600/VLOOKUP(E119, Tracker!$U$9:$W$491, 3, FALSE))</f>
        <v>64.216910934959941</v>
      </c>
    </row>
    <row r="120" spans="1:9" ht="25" customHeight="1" x14ac:dyDescent="0.35">
      <c r="A120" s="8" t="s">
        <v>19</v>
      </c>
      <c r="B120" s="152">
        <f>SUMIF(Tracker!$U$9:$U$491, A120, Tracker!$H$9:$H$491)+SUMIF(Tracker!$U$9:$U$491, A120, Tracker!$I$9:$I$491)</f>
        <v>28470</v>
      </c>
      <c r="C120" s="8">
        <f>SUMIF(Tracker!$U$9:$U$491, A120, Tracker!$J$9:$J$491)</f>
        <v>93.600000000000009</v>
      </c>
      <c r="E120" s="8" t="s">
        <v>36</v>
      </c>
      <c r="F120" s="91">
        <f>SUMIF(Tracker!$U$9:$U$491, E120, Tracker!$H$9:$H$491)+SUMIF(Tracker!$U$9:$U$491, E120, Tracker!$I$9:$I$491)</f>
        <v>25600.598466429772</v>
      </c>
      <c r="G120" s="8">
        <f>SUMIF(Tracker!$U$9:$U$491, E120, Tracker!$J$9:$J$491)</f>
        <v>82.287637927809996</v>
      </c>
      <c r="H120" s="49">
        <f t="shared" si="3"/>
        <v>35.366603846873154</v>
      </c>
      <c r="I120" s="8">
        <f>H120*(21600/VLOOKUP(E120, Tracker!$U$9:$W$491, 3, FALSE))</f>
        <v>38.195932154623009</v>
      </c>
    </row>
    <row r="121" spans="1:9" ht="25" customHeight="1" x14ac:dyDescent="0.35">
      <c r="A121" s="8" t="s">
        <v>31</v>
      </c>
      <c r="B121" s="152">
        <f>SUMIF(Tracker!$U$9:$U$491, A121, Tracker!$H$9:$H$491)+SUMIF(Tracker!$U$9:$U$491, A121, Tracker!$I$9:$I$491)</f>
        <v>27514.75126239012</v>
      </c>
      <c r="C121" s="8">
        <f>SUMIF(Tracker!$U$9:$U$491, A121, Tracker!$J$9:$J$491)</f>
        <v>154.70558256966524</v>
      </c>
      <c r="E121" s="8" t="s">
        <v>65</v>
      </c>
      <c r="F121" s="91">
        <f>SUMIF(Tracker!$U$9:$U$491, E121, Tracker!$H$9:$H$491)+SUMIF(Tracker!$U$9:$U$491, E121, Tracker!$I$9:$I$491)</f>
        <v>26854.497849261268</v>
      </c>
      <c r="G121" s="8">
        <f>SUMIF(Tracker!$U$9:$U$491, E121, Tracker!$J$9:$J$491)</f>
        <v>152.29811109033102</v>
      </c>
      <c r="H121" s="49">
        <f t="shared" si="3"/>
        <v>49.666470055099197</v>
      </c>
      <c r="I121" s="8">
        <f>H121*(21600/VLOOKUP(E121, Tracker!$U$9:$W$491, 3, FALSE))</f>
        <v>59.599764066119036</v>
      </c>
    </row>
    <row r="122" spans="1:9" ht="25" customHeight="1" x14ac:dyDescent="0.35">
      <c r="A122" s="8" t="s">
        <v>27</v>
      </c>
      <c r="B122" s="152">
        <f>SUMIF(Tracker!$U$9:$U$491, A122, Tracker!$H$9:$H$491)+SUMIF(Tracker!$U$9:$U$491, A122, Tracker!$I$9:$I$491)</f>
        <v>27317.748270057975</v>
      </c>
      <c r="C122" s="8">
        <f>SUMIF(Tracker!$U$9:$U$491, A122, Tracker!$J$9:$J$491)</f>
        <v>153.5979053674958</v>
      </c>
      <c r="E122" s="8" t="s">
        <v>56</v>
      </c>
      <c r="F122" s="91">
        <f>SUMIF(Tracker!$U$9:$U$491, E122, Tracker!$H$9:$H$491)+SUMIF(Tracker!$U$9:$U$491, E122, Tracker!$I$9:$I$491)</f>
        <v>19497.101178230783</v>
      </c>
      <c r="G122" s="8">
        <f>SUMIF(Tracker!$U$9:$U$491, E122, Tracker!$J$9:$J$491)</f>
        <v>109.62521039835421</v>
      </c>
      <c r="H122" s="49">
        <f t="shared" si="3"/>
        <v>35.878762593929977</v>
      </c>
      <c r="I122" s="8">
        <f>H122*(21600/VLOOKUP(E122, Tracker!$U$9:$W$491, 3, FALSE))</f>
        <v>43.054515112715968</v>
      </c>
    </row>
    <row r="123" spans="1:9" ht="25" customHeight="1" x14ac:dyDescent="0.35">
      <c r="A123" s="8" t="s">
        <v>65</v>
      </c>
      <c r="B123" s="152">
        <f>SUMIF(Tracker!$U$9:$U$491, A123, Tracker!$H$9:$H$491)+SUMIF(Tracker!$U$9:$U$491, A123, Tracker!$I$9:$I$491)</f>
        <v>26854.497849261268</v>
      </c>
      <c r="C123" s="8">
        <f>SUMIF(Tracker!$U$9:$U$491, A123, Tracker!$J$9:$J$491)</f>
        <v>152.29811109033102</v>
      </c>
      <c r="E123" s="8" t="s">
        <v>61</v>
      </c>
      <c r="F123" s="91">
        <f>SUMIF(Tracker!$U$9:$U$491, E123, Tracker!$H$9:$H$491)+SUMIF(Tracker!$U$9:$U$491, E123, Tracker!$I$9:$I$491)</f>
        <v>19497.101178230783</v>
      </c>
      <c r="G123" s="8">
        <f>SUMIF(Tracker!$U$9:$U$491, E123, Tracker!$J$9:$J$491)</f>
        <v>109.62521039835421</v>
      </c>
      <c r="H123" s="49">
        <f t="shared" si="3"/>
        <v>35.878762593929977</v>
      </c>
      <c r="I123" s="8">
        <f>H123*(21600/VLOOKUP(E123, Tracker!$U$9:$W$491, 3, FALSE))</f>
        <v>43.054515112715968</v>
      </c>
    </row>
    <row r="124" spans="1:9" ht="25" customHeight="1" x14ac:dyDescent="0.35">
      <c r="A124" s="8" t="s">
        <v>36</v>
      </c>
      <c r="B124" s="152">
        <f>SUMIF(Tracker!$U$9:$U$491, A124, Tracker!$H$9:$H$491)+SUMIF(Tracker!$U$9:$U$491, A124, Tracker!$I$9:$I$491)</f>
        <v>25600.598466429772</v>
      </c>
      <c r="C124" s="8">
        <f>SUMIF(Tracker!$U$9:$U$491, A124, Tracker!$J$9:$J$491)</f>
        <v>82.287637927809996</v>
      </c>
      <c r="E124" s="8" t="s">
        <v>63</v>
      </c>
      <c r="F124" s="91">
        <f>SUMIF(Tracker!$U$9:$U$491, E124, Tracker!$H$9:$H$491)+SUMIF(Tracker!$U$9:$U$491, E124, Tracker!$I$9:$I$491)</f>
        <v>19497.101178230783</v>
      </c>
      <c r="G124" s="8">
        <f>SUMIF(Tracker!$U$9:$U$491, E124, Tracker!$J$9:$J$491)</f>
        <v>109.62521039835421</v>
      </c>
      <c r="H124" s="49">
        <f t="shared" si="3"/>
        <v>35.878762593929977</v>
      </c>
      <c r="I124" s="8">
        <f>H124*(21600/VLOOKUP(E124, Tracker!$U$9:$W$491, 3, FALSE))</f>
        <v>43.054515112715968</v>
      </c>
    </row>
    <row r="125" spans="1:9" ht="25" customHeight="1" x14ac:dyDescent="0.35">
      <c r="A125" s="8" t="s">
        <v>33</v>
      </c>
      <c r="B125" s="152">
        <f>SUMIF(Tracker!$U$9:$U$491, A125, Tracker!$H$9:$H$491)+SUMIF(Tracker!$U$9:$U$491, A125, Tracker!$I$9:$I$491)</f>
        <v>25029.156536375536</v>
      </c>
      <c r="C125" s="8">
        <f>SUMIF(Tracker!$U$9:$U$491, A125, Tracker!$J$9:$J$491)</f>
        <v>82.287637927809996</v>
      </c>
      <c r="E125" s="8" t="s">
        <v>33</v>
      </c>
      <c r="F125" s="91">
        <f>SUMIF(Tracker!$U$9:$U$491, E125, Tracker!$H$9:$H$491)+SUMIF(Tracker!$U$9:$U$491, E125, Tracker!$I$9:$I$491)</f>
        <v>25029.156536375536</v>
      </c>
      <c r="G125" s="8">
        <f>SUMIF(Tracker!$U$9:$U$491, E125, Tracker!$J$9:$J$491)</f>
        <v>82.287637927809996</v>
      </c>
      <c r="H125" s="49">
        <f t="shared" si="3"/>
        <v>34.927033131446819</v>
      </c>
      <c r="I125" s="8">
        <f>H125*(21600/VLOOKUP(E125, Tracker!$U$9:$W$491, 3, FALSE))</f>
        <v>34.291996165420514</v>
      </c>
    </row>
    <row r="126" spans="1:9" ht="25" customHeight="1" x14ac:dyDescent="0.35">
      <c r="A126" s="8" t="s">
        <v>73</v>
      </c>
      <c r="B126" s="152">
        <f>SUMIF(Tracker!$U$9:$U$491, A126, Tracker!$H$9:$H$491)+SUMIF(Tracker!$U$9:$U$491, A126, Tracker!$I$9:$I$491)</f>
        <v>23900</v>
      </c>
      <c r="C126" s="8">
        <f>SUMIF(Tracker!$U$9:$U$491, A126, Tracker!$J$9:$J$491)</f>
        <v>72</v>
      </c>
      <c r="E126" s="8" t="s">
        <v>81</v>
      </c>
      <c r="F126" s="91">
        <f>SUMIF(Tracker!$U$9:$U$491, E126, Tracker!$H$9:$H$491)+SUMIF(Tracker!$U$9:$U$491, E126, Tracker!$I$9:$I$491)</f>
        <v>46400</v>
      </c>
      <c r="G126" s="8">
        <f>SUMIF(Tracker!$U$9:$U$491, E126, Tracker!$J$9:$J$491)</f>
        <v>179</v>
      </c>
      <c r="H126" s="49">
        <f t="shared" si="3"/>
        <v>69.787545787545781</v>
      </c>
      <c r="I126" s="8">
        <f>H126*(21600/VLOOKUP(E126, Tracker!$U$9:$W$491, 3, FALSE))</f>
        <v>75.370549450549447</v>
      </c>
    </row>
    <row r="127" spans="1:9" ht="25" customHeight="1" x14ac:dyDescent="0.35">
      <c r="A127" s="8" t="s">
        <v>40</v>
      </c>
      <c r="B127" s="152">
        <f>SUMIF(Tracker!$U$9:$U$491, A127, Tracker!$H$9:$H$491)+SUMIF(Tracker!$U$9:$U$491, A127, Tracker!$I$9:$I$491)</f>
        <v>21971.647652889471</v>
      </c>
      <c r="C127" s="8">
        <f>SUMIF(Tracker!$U$9:$U$491, A127, Tracker!$J$9:$J$491)</f>
        <v>70.623153170001871</v>
      </c>
      <c r="E127" s="8" t="s">
        <v>22</v>
      </c>
      <c r="F127" s="91">
        <f>SUMIF(Tracker!$U$9:$U$491, E127, Tracker!$H$9:$H$491)+SUMIF(Tracker!$U$9:$U$491, E127, Tracker!$I$9:$I$491)</f>
        <v>26923.976061342808</v>
      </c>
      <c r="G127" s="8">
        <f>SUMIF(Tracker!$U$9:$U$491, E127, Tracker!$J$9:$J$491)</f>
        <v>91.032354591359635</v>
      </c>
      <c r="H127" s="49">
        <f t="shared" si="3"/>
        <v>38.050246929057472</v>
      </c>
      <c r="I127" s="8">
        <f>H127*(21600/VLOOKUP(E127, Tracker!$U$9:$W$491, 3, FALSE))</f>
        <v>51.367833354227592</v>
      </c>
    </row>
    <row r="128" spans="1:9" ht="25" customHeight="1" x14ac:dyDescent="0.35">
      <c r="A128" s="8" t="s">
        <v>47</v>
      </c>
      <c r="B128" s="152">
        <f>SUMIF(Tracker!$U$9:$U$491, A128, Tracker!$H$9:$H$491)+SUMIF(Tracker!$U$9:$U$491, A128, Tracker!$I$9:$I$491)</f>
        <v>21557.172246119317</v>
      </c>
      <c r="C128" s="8">
        <f>SUMIF(Tracker!$U$9:$U$491, A128, Tracker!$J$9:$J$491)</f>
        <v>130.96166074434262</v>
      </c>
      <c r="E128" s="8" t="s">
        <v>16</v>
      </c>
      <c r="F128" s="91">
        <f>SUMIF(Tracker!$U$9:$U$491, E128, Tracker!$H$9:$H$491)+SUMIF(Tracker!$U$9:$U$491, E128, Tracker!$I$9:$I$491)</f>
        <v>44460</v>
      </c>
      <c r="G128" s="8">
        <f>SUMIF(Tracker!$U$9:$U$491, E128, Tracker!$J$9:$J$491)</f>
        <v>204.1</v>
      </c>
      <c r="H128" s="49">
        <f t="shared" si="3"/>
        <v>73.076190476190476</v>
      </c>
      <c r="I128" s="8">
        <f>H128*(21600/VLOOKUP(E128, Tracker!$U$9:$W$491, 3, FALSE))</f>
        <v>37.582040816326526</v>
      </c>
    </row>
    <row r="129" spans="1:9" ht="25" customHeight="1" x14ac:dyDescent="0.35">
      <c r="A129" s="8" t="s">
        <v>50</v>
      </c>
      <c r="B129" s="152">
        <f>SUMIF(Tracker!$U$9:$U$491, A129, Tracker!$H$9:$H$491)+SUMIF(Tracker!$U$9:$U$491, A129, Tracker!$I$9:$I$491)</f>
        <v>21557.172246119317</v>
      </c>
      <c r="C129" s="8">
        <f>SUMIF(Tracker!$U$9:$U$491, A129, Tracker!$J$9:$J$491)</f>
        <v>130.96166074434262</v>
      </c>
      <c r="E129" s="8" t="s">
        <v>58</v>
      </c>
      <c r="F129" s="91">
        <f>SUMIF(Tracker!$U$9:$U$491, E129, Tracker!$H$9:$H$491)+SUMIF(Tracker!$U$9:$U$491, E129, Tracker!$I$9:$I$491)</f>
        <v>20336.445670469424</v>
      </c>
      <c r="G129" s="8">
        <f>SUMIF(Tracker!$U$9:$U$491, E129, Tracker!$J$9:$J$491)</f>
        <v>66.859547409762484</v>
      </c>
      <c r="H129" s="49">
        <f t="shared" si="3"/>
        <v>28.378571634088743</v>
      </c>
      <c r="I129" s="8">
        <f>H129*(21600/VLOOKUP(E129, Tracker!$U$9:$W$491, 3, FALSE))</f>
        <v>30.648857364815846</v>
      </c>
    </row>
    <row r="130" spans="1:9" ht="25" customHeight="1" x14ac:dyDescent="0.35">
      <c r="A130" s="8" t="s">
        <v>48</v>
      </c>
      <c r="B130" s="152">
        <f>SUMIF(Tracker!$U$9:$U$491, A130, Tracker!$H$9:$H$491)+SUMIF(Tracker!$U$9:$U$491, A130, Tracker!$I$9:$I$491)</f>
        <v>21557.172246119317</v>
      </c>
      <c r="C130" s="8">
        <f>SUMIF(Tracker!$U$9:$U$491, A130, Tracker!$J$9:$J$491)</f>
        <v>130.96166074434262</v>
      </c>
      <c r="E130" s="8" t="s">
        <v>18</v>
      </c>
      <c r="F130" s="91">
        <f>SUMIF(Tracker!$U$9:$U$491, E130, Tracker!$H$9:$H$491)+SUMIF(Tracker!$U$9:$U$491, E130, Tracker!$I$9:$I$491)</f>
        <v>28470</v>
      </c>
      <c r="G130" s="8">
        <f>SUMIF(Tracker!$U$9:$U$491, E130, Tracker!$J$9:$J$491)</f>
        <v>93.600000000000009</v>
      </c>
      <c r="H130" s="49">
        <f t="shared" si="3"/>
        <v>39.728571428571428</v>
      </c>
      <c r="I130" s="8">
        <f>H130*(21600/VLOOKUP(E130, Tracker!$U$9:$W$491, 3, FALSE))</f>
        <v>26.816785714285714</v>
      </c>
    </row>
    <row r="131" spans="1:9" ht="25" customHeight="1" x14ac:dyDescent="0.35">
      <c r="A131" s="8" t="s">
        <v>85</v>
      </c>
      <c r="B131" s="152">
        <f>SUMIF(Tracker!$U$9:$U$491, A131, Tracker!$H$9:$H$491)+SUMIF(Tracker!$U$9:$U$491, A131, Tracker!$I$9:$I$491)</f>
        <v>20648.74696091266</v>
      </c>
      <c r="C131" s="8">
        <f>SUMIF(Tracker!$U$9:$U$491, A131, Tracker!$J$9:$J$491)</f>
        <v>67.886291378342989</v>
      </c>
      <c r="E131" s="8" t="s">
        <v>19</v>
      </c>
      <c r="F131" s="91">
        <f>SUMIF(Tracker!$U$9:$U$491, E131, Tracker!$H$9:$H$491)+SUMIF(Tracker!$U$9:$U$491, E131, Tracker!$I$9:$I$491)</f>
        <v>28470</v>
      </c>
      <c r="G131" s="8">
        <f>SUMIF(Tracker!$U$9:$U$491, E131, Tracker!$J$9:$J$491)</f>
        <v>93.600000000000009</v>
      </c>
      <c r="H131" s="49">
        <f t="shared" si="3"/>
        <v>39.728571428571428</v>
      </c>
      <c r="I131" s="8">
        <f>H131*(21600/VLOOKUP(E131, Tracker!$U$9:$W$491, 3, FALSE))</f>
        <v>26.816785714285714</v>
      </c>
    </row>
    <row r="132" spans="1:9" ht="25" customHeight="1" x14ac:dyDescent="0.35">
      <c r="A132" s="8" t="s">
        <v>58</v>
      </c>
      <c r="B132" s="152">
        <f>SUMIF(Tracker!$U$9:$U$491, A132, Tracker!$H$9:$H$491)+SUMIF(Tracker!$U$9:$U$491, A132, Tracker!$I$9:$I$491)</f>
        <v>20336.445670469424</v>
      </c>
      <c r="C132" s="8">
        <f>SUMIF(Tracker!$U$9:$U$491, A132, Tracker!$J$9:$J$491)</f>
        <v>66.859547409762484</v>
      </c>
      <c r="E132" s="8" t="s">
        <v>28</v>
      </c>
      <c r="F132" s="91">
        <f>SUMIF(Tracker!$U$9:$U$491, E132, Tracker!$H$9:$H$491)+SUMIF(Tracker!$U$9:$U$491, E132, Tracker!$I$9:$I$491)</f>
        <v>17730.764914905554</v>
      </c>
      <c r="G132" s="8">
        <f>SUMIF(Tracker!$U$9:$U$491, E132, Tracker!$J$9:$J$491)</f>
        <v>65.974939218253226</v>
      </c>
      <c r="H132" s="49">
        <f t="shared" si="3"/>
        <v>26.205705023733824</v>
      </c>
      <c r="I132" s="8">
        <f>H132*(21600/VLOOKUP(E132, Tracker!$U$9:$W$491, 3, FALSE))</f>
        <v>28.30216142563253</v>
      </c>
    </row>
    <row r="133" spans="1:9" ht="25" customHeight="1" x14ac:dyDescent="0.35">
      <c r="A133" s="8" t="s">
        <v>60</v>
      </c>
      <c r="B133" s="152">
        <f>SUMIF(Tracker!$U$9:$U$491, A133, Tracker!$H$9:$H$491)+SUMIF(Tracker!$U$9:$U$491, A133, Tracker!$I$9:$I$491)</f>
        <v>20336.445670469424</v>
      </c>
      <c r="C133" s="8">
        <f>SUMIF(Tracker!$U$9:$U$491, A133, Tracker!$J$9:$J$491)</f>
        <v>66.859547409762484</v>
      </c>
      <c r="E133" s="8" t="s">
        <v>20</v>
      </c>
      <c r="F133" s="91">
        <f>SUMIF(Tracker!$U$9:$U$491, E133, Tracker!$H$9:$H$491)+SUMIF(Tracker!$U$9:$U$491, E133, Tracker!$I$9:$I$491)</f>
        <v>16894.987843650648</v>
      </c>
      <c r="G133" s="8">
        <f>SUMIF(Tracker!$U$9:$U$491, E133, Tracker!$J$9:$J$491)</f>
        <v>55.545165513371984</v>
      </c>
      <c r="H133" s="49">
        <f t="shared" si="3"/>
        <v>23.576176021472453</v>
      </c>
      <c r="I133" s="8">
        <f>H133*(21600/VLOOKUP(E133, Tracker!$U$9:$W$491, 3, FALSE))</f>
        <v>31.827837628987812</v>
      </c>
    </row>
    <row r="134" spans="1:9" ht="25" customHeight="1" x14ac:dyDescent="0.35">
      <c r="A134" s="8" t="s">
        <v>56</v>
      </c>
      <c r="B134" s="152">
        <f>SUMIF(Tracker!$U$9:$U$491, A134, Tracker!$H$9:$H$491)+SUMIF(Tracker!$U$9:$U$491, A134, Tracker!$I$9:$I$491)</f>
        <v>19497.101178230783</v>
      </c>
      <c r="C134" s="8">
        <f>SUMIF(Tracker!$U$9:$U$491, A134, Tracker!$J$9:$J$491)</f>
        <v>109.62521039835421</v>
      </c>
      <c r="E134" s="8" t="s">
        <v>23</v>
      </c>
      <c r="F134" s="91">
        <f>SUMIF(Tracker!$U$9:$U$491, E134, Tracker!$H$9:$H$491)+SUMIF(Tracker!$U$9:$U$491, E134, Tracker!$I$9:$I$491)</f>
        <v>10954.740976248364</v>
      </c>
      <c r="G134" s="8">
        <f>SUMIF(Tracker!$U$9:$U$491, E134, Tracker!$J$9:$J$491)</f>
        <v>49.373480456330654</v>
      </c>
      <c r="H134" s="49">
        <f t="shared" si="3"/>
        <v>17.831196295755863</v>
      </c>
      <c r="I134" s="8">
        <f>H134*(21600/VLOOKUP(E134, Tracker!$U$9:$W$491, 3, FALSE))</f>
        <v>24.072114999270415</v>
      </c>
    </row>
    <row r="135" spans="1:9" ht="25" customHeight="1" x14ac:dyDescent="0.35">
      <c r="A135" s="8" t="s">
        <v>61</v>
      </c>
      <c r="B135" s="152">
        <f>SUMIF(Tracker!$U$9:$U$491, A135, Tracker!$H$9:$H$491)+SUMIF(Tracker!$U$9:$U$491, A135, Tracker!$I$9:$I$491)</f>
        <v>19497.101178230783</v>
      </c>
      <c r="C135" s="8">
        <f>SUMIF(Tracker!$U$9:$U$491, A135, Tracker!$J$9:$J$491)</f>
        <v>109.62521039835421</v>
      </c>
      <c r="E135" s="8" t="s">
        <v>24</v>
      </c>
      <c r="F135" s="91">
        <f>SUMIF(Tracker!$U$9:$U$491, E135, Tracker!$H$9:$H$491)+SUMIF(Tracker!$U$9:$U$491, E135, Tracker!$I$9:$I$491)</f>
        <v>10954.740976248364</v>
      </c>
      <c r="G135" s="8">
        <f>SUMIF(Tracker!$U$9:$U$491, E135, Tracker!$J$9:$J$491)</f>
        <v>49.373480456330654</v>
      </c>
      <c r="H135" s="49">
        <f t="shared" si="3"/>
        <v>17.831196295755863</v>
      </c>
      <c r="I135" s="8">
        <f>H135*(21600/VLOOKUP(E135, Tracker!$U$9:$W$491, 3, FALSE))</f>
        <v>24.072114999270415</v>
      </c>
    </row>
    <row r="136" spans="1:9" ht="25" customHeight="1" x14ac:dyDescent="0.35">
      <c r="A136" s="8" t="s">
        <v>63</v>
      </c>
      <c r="B136" s="152">
        <f>SUMIF(Tracker!$U$9:$U$491, A136, Tracker!$H$9:$H$491)+SUMIF(Tracker!$U$9:$U$491, A136, Tracker!$I$9:$I$491)</f>
        <v>19497.101178230783</v>
      </c>
      <c r="C136" s="8">
        <f>SUMIF(Tracker!$U$9:$U$491, A136, Tracker!$J$9:$J$491)</f>
        <v>109.62521039835421</v>
      </c>
      <c r="E136" s="8" t="s">
        <v>25</v>
      </c>
      <c r="F136" s="91">
        <f>SUMIF(Tracker!$U$9:$U$491, E136, Tracker!$H$9:$H$491)+SUMIF(Tracker!$U$9:$U$491, E136, Tracker!$I$9:$I$491)</f>
        <v>16894.987843650648</v>
      </c>
      <c r="G136" s="8">
        <f>SUMIF(Tracker!$U$9:$U$491, E136, Tracker!$J$9:$J$491)</f>
        <v>55.545165513371984</v>
      </c>
      <c r="H136" s="49">
        <f t="shared" si="3"/>
        <v>23.576176021472453</v>
      </c>
      <c r="I136" s="8">
        <f>H136*(21600/VLOOKUP(E136, Tracker!$U$9:$W$491, 3, FALSE))</f>
        <v>31.827837628987812</v>
      </c>
    </row>
    <row r="137" spans="1:9" ht="25" customHeight="1" x14ac:dyDescent="0.35">
      <c r="A137" s="8" t="s">
        <v>43</v>
      </c>
      <c r="B137" s="152">
        <f>SUMIF(Tracker!$U$9:$U$491, A137, Tracker!$H$9:$H$491)+SUMIF(Tracker!$U$9:$U$491, A137, Tracker!$I$9:$I$491)</f>
        <v>19323.279409014398</v>
      </c>
      <c r="C137" s="8">
        <f>SUMIF(Tracker!$U$9:$U$491, A137, Tracker!$J$9:$J$491)</f>
        <v>51.00561062277913</v>
      </c>
      <c r="E137" s="8" t="s">
        <v>26</v>
      </c>
      <c r="F137" s="91">
        <f>SUMIF(Tracker!$U$9:$U$491, E137, Tracker!$H$9:$H$491)+SUMIF(Tracker!$U$9:$U$491, E137, Tracker!$I$9:$I$491)</f>
        <v>16894.987843650648</v>
      </c>
      <c r="G137" s="8">
        <f>SUMIF(Tracker!$U$9:$U$491, E137, Tracker!$J$9:$J$491)</f>
        <v>55.545165513371984</v>
      </c>
      <c r="H137" s="49">
        <f t="shared" si="3"/>
        <v>23.576176021472453</v>
      </c>
      <c r="I137" s="8">
        <f>H137*(21600/VLOOKUP(E137, Tracker!$U$9:$W$491, 3, FALSE))</f>
        <v>31.827837628987812</v>
      </c>
    </row>
    <row r="138" spans="1:9" ht="25" customHeight="1" x14ac:dyDescent="0.35">
      <c r="A138" s="8" t="s">
        <v>28</v>
      </c>
      <c r="B138" s="152">
        <f>SUMIF(Tracker!$U$9:$U$491, A138, Tracker!$H$9:$H$491)+SUMIF(Tracker!$U$9:$U$491, A138, Tracker!$I$9:$I$491)</f>
        <v>17730.764914905554</v>
      </c>
      <c r="C138" s="8">
        <f>SUMIF(Tracker!$U$9:$U$491, A138, Tracker!$J$9:$J$491)</f>
        <v>65.974939218253226</v>
      </c>
      <c r="E138" s="8" t="s">
        <v>85</v>
      </c>
      <c r="F138" s="91">
        <f>SUMIF(Tracker!$U$9:$U$491, E138, Tracker!$H$9:$H$491)+SUMIF(Tracker!$U$9:$U$491, E138, Tracker!$I$9:$I$491)</f>
        <v>20648.74696091266</v>
      </c>
      <c r="G138" s="8">
        <f>SUMIF(Tracker!$U$9:$U$491, E138, Tracker!$J$9:$J$491)</f>
        <v>67.886291378342989</v>
      </c>
      <c r="H138" s="49">
        <f t="shared" si="3"/>
        <v>28.81437367569778</v>
      </c>
      <c r="I138" s="8">
        <f>H138*(21600/VLOOKUP(E138, Tracker!$U$9:$W$491, 3, FALSE))</f>
        <v>31.119523569753603</v>
      </c>
    </row>
    <row r="139" spans="1:9" ht="25" customHeight="1" x14ac:dyDescent="0.35">
      <c r="A139" s="8" t="s">
        <v>22</v>
      </c>
      <c r="B139" s="152">
        <f>SUMIF(Tracker!$U$9:$U$491, A139, Tracker!$H$9:$H$491)+SUMIF(Tracker!$U$9:$U$491, A139, Tracker!$I$9:$I$491)</f>
        <v>26923.976061342808</v>
      </c>
      <c r="C139" s="8">
        <f>SUMIF(Tracker!$U$9:$U$491, A139, Tracker!$J$9:$J$491)</f>
        <v>91.032354591359635</v>
      </c>
      <c r="E139" s="8" t="s">
        <v>15</v>
      </c>
      <c r="F139" s="91">
        <f>SUMIF(Tracker!$U$9:$U$491, E139, Tracker!$H$9:$H$491)+SUMIF(Tracker!$U$9:$U$491, E139, Tracker!$I$9:$I$491)</f>
        <v>7303.160650832242</v>
      </c>
      <c r="G139" s="8">
        <f>SUMIF(Tracker!$U$9:$U$491, E139, Tracker!$J$9:$J$491)</f>
        <v>32.915653637553767</v>
      </c>
      <c r="H139" s="49">
        <f t="shared" si="3"/>
        <v>11.887464197170575</v>
      </c>
      <c r="I139" s="8">
        <f>H139*(21600/VLOOKUP(E139, Tracker!$U$9:$W$491, 3, FALSE))</f>
        <v>23.342656968989491</v>
      </c>
    </row>
    <row r="140" spans="1:9" ht="25" customHeight="1" x14ac:dyDescent="0.35">
      <c r="A140" s="8" t="s">
        <v>26</v>
      </c>
      <c r="B140" s="152">
        <f>SUMIF(Tracker!$U$9:$U$491, A140, Tracker!$H$9:$H$491)+SUMIF(Tracker!$U$9:$U$491, A140, Tracker!$I$9:$I$491)</f>
        <v>16894.987843650648</v>
      </c>
      <c r="C140" s="8">
        <f>SUMIF(Tracker!$U$9:$U$491, A140, Tracker!$J$9:$J$491)</f>
        <v>55.545165513371984</v>
      </c>
      <c r="E140" s="8" t="s">
        <v>60</v>
      </c>
      <c r="F140" s="91">
        <f>SUMIF(Tracker!$U$9:$U$491, E140, Tracker!$H$9:$H$491)+SUMIF(Tracker!$U$9:$U$491, E140, Tracker!$I$9:$I$491)</f>
        <v>20336.445670469424</v>
      </c>
      <c r="G140" s="8">
        <f>SUMIF(Tracker!$U$9:$U$491, E140, Tracker!$J$9:$J$491)</f>
        <v>66.859547409762484</v>
      </c>
      <c r="H140" s="49">
        <f t="shared" si="3"/>
        <v>28.378571634088743</v>
      </c>
      <c r="I140" s="8">
        <f>H140*(21600/VLOOKUP(E140, Tracker!$U$9:$W$491, 3, FALSE))</f>
        <v>30.648857364815846</v>
      </c>
    </row>
    <row r="141" spans="1:9" ht="25" customHeight="1" x14ac:dyDescent="0.35">
      <c r="A141" s="8" t="s">
        <v>25</v>
      </c>
      <c r="B141" s="152">
        <f>SUMIF(Tracker!$U$9:$U$491, A141, Tracker!$H$9:$H$491)+SUMIF(Tracker!$U$9:$U$491, A141, Tracker!$I$9:$I$491)</f>
        <v>16894.987843650648</v>
      </c>
      <c r="C141" s="8">
        <f>SUMIF(Tracker!$U$9:$U$491, A141, Tracker!$J$9:$J$491)</f>
        <v>55.545165513371984</v>
      </c>
      <c r="E141" s="8" t="s">
        <v>80</v>
      </c>
      <c r="F141" s="91">
        <f>SUMIF(Tracker!$U$9:$U$491, E141, Tracker!$H$9:$H$491)+SUMIF(Tracker!$U$9:$U$491, E141, Tracker!$I$9:$I$491)</f>
        <v>13186.18851692538</v>
      </c>
      <c r="G141" s="8">
        <f>SUMIF(Tracker!$U$9:$U$491, E141, Tracker!$J$9:$J$491)</f>
        <v>59.430708808677764</v>
      </c>
      <c r="H141" s="49">
        <f t="shared" si="3"/>
        <v>21.463356947273162</v>
      </c>
      <c r="I141" s="8">
        <f>H141*(21600/VLOOKUP(E141, Tracker!$U$9:$W$491, 3, FALSE))</f>
        <v>23.180425503055016</v>
      </c>
    </row>
    <row r="142" spans="1:9" ht="25" customHeight="1" x14ac:dyDescent="0.35">
      <c r="A142" s="8" t="s">
        <v>37</v>
      </c>
      <c r="B142" s="152">
        <f>SUMIF(Tracker!$U$9:$U$491, A142, Tracker!$H$9:$H$491)+SUMIF(Tracker!$U$9:$U$491, A142, Tracker!$I$9:$I$491)</f>
        <v>14560</v>
      </c>
      <c r="C142" s="8">
        <f>SUMIF(Tracker!$U$9:$U$491, A142, Tracker!$J$9:$J$491)</f>
        <v>10.4</v>
      </c>
      <c r="E142" s="8" t="s">
        <v>40</v>
      </c>
      <c r="F142" s="91">
        <f>SUMIF(Tracker!$U$9:$U$491, E142, Tracker!$H$9:$H$491)+SUMIF(Tracker!$U$9:$U$491, E142, Tracker!$I$9:$I$491)</f>
        <v>21971.647652889471</v>
      </c>
      <c r="G142" s="8">
        <f>SUMIF(Tracker!$U$9:$U$491, E142, Tracker!$J$9:$J$491)</f>
        <v>70.623153170001871</v>
      </c>
      <c r="H142" s="49">
        <f t="shared" si="3"/>
        <v>30.353296600538044</v>
      </c>
      <c r="I142" s="8">
        <f>H142*(21600/VLOOKUP(E142, Tracker!$U$9:$W$491, 3, FALSE))</f>
        <v>30.353296600538044</v>
      </c>
    </row>
    <row r="143" spans="1:9" ht="25" customHeight="1" x14ac:dyDescent="0.35">
      <c r="A143" s="8" t="s">
        <v>306</v>
      </c>
      <c r="B143" s="152">
        <f>SUMIF(Tracker!$U$9:$U$491, A143, Tracker!$H$9:$H$491)+SUMIF(Tracker!$U$9:$U$491, A143, Tracker!$I$9:$I$491)</f>
        <v>14057.471479334206</v>
      </c>
      <c r="C143" s="8">
        <f>SUMIF(Tracker!$U$9:$U$491, A143, Tracker!$J$9:$J$491)</f>
        <v>97.145128109220124</v>
      </c>
      <c r="E143" s="8" t="s">
        <v>90</v>
      </c>
      <c r="F143" s="91">
        <f>SUMIF(Tracker!$U$9:$U$491, E143, Tracker!$H$9:$H$491)+SUMIF(Tracker!$U$9:$U$491, E143, Tracker!$I$9:$I$491)</f>
        <v>12171.713110155226</v>
      </c>
      <c r="G143" s="8">
        <f>SUMIF(Tracker!$U$9:$U$491, E143, Tracker!$J$9:$J$491)</f>
        <v>54.858425285206657</v>
      </c>
      <c r="H143" s="49">
        <f t="shared" si="3"/>
        <v>19.812080102429832</v>
      </c>
      <c r="I143" s="8">
        <f>H143*(21600/VLOOKUP(E143, Tracker!$U$9:$W$491, 3, FALSE))</f>
        <v>21.397046510624218</v>
      </c>
    </row>
    <row r="144" spans="1:9" ht="25" customHeight="1" x14ac:dyDescent="0.35">
      <c r="A144" s="8" t="s">
        <v>80</v>
      </c>
      <c r="B144" s="152">
        <f>SUMIF(Tracker!$U$9:$U$491, A144, Tracker!$H$9:$H$491)+SUMIF(Tracker!$U$9:$U$491, A144, Tracker!$I$9:$I$491)</f>
        <v>13186.18851692538</v>
      </c>
      <c r="C144" s="8">
        <f>SUMIF(Tracker!$U$9:$U$491, A144, Tracker!$J$9:$J$491)</f>
        <v>59.430708808677764</v>
      </c>
      <c r="E144" s="8" t="s">
        <v>89</v>
      </c>
      <c r="F144" s="91">
        <f>SUMIF(Tracker!$U$9:$U$491, E144, Tracker!$H$9:$H$491)+SUMIF(Tracker!$U$9:$U$491, E144, Tracker!$I$9:$I$491)</f>
        <v>12171.713110155226</v>
      </c>
      <c r="G144" s="8">
        <f>SUMIF(Tracker!$U$9:$U$491, E144, Tracker!$J$9:$J$491)</f>
        <v>54.858425285206657</v>
      </c>
      <c r="H144" s="49">
        <f t="shared" si="3"/>
        <v>19.812080102429832</v>
      </c>
      <c r="I144" s="8">
        <f>H144*(21600/VLOOKUP(E144, Tracker!$U$9:$W$491, 3, FALSE))</f>
        <v>21.397046510624218</v>
      </c>
    </row>
    <row r="145" spans="1:9" ht="25" customHeight="1" x14ac:dyDescent="0.35">
      <c r="A145" s="8" t="s">
        <v>90</v>
      </c>
      <c r="B145" s="152">
        <f>SUMIF(Tracker!$U$9:$U$491, A145, Tracker!$H$9:$H$491)+SUMIF(Tracker!$U$9:$U$491, A145, Tracker!$I$9:$I$491)</f>
        <v>12171.713110155226</v>
      </c>
      <c r="C145" s="8">
        <f>SUMIF(Tracker!$U$9:$U$491, A145, Tracker!$J$9:$J$491)</f>
        <v>54.858425285206657</v>
      </c>
      <c r="E145" s="8" t="s">
        <v>306</v>
      </c>
      <c r="F145" s="91">
        <f>SUMIF(Tracker!$U$9:$U$491, E145, Tracker!$H$9:$H$491)+SUMIF(Tracker!$U$9:$U$491, E145, Tracker!$I$9:$I$491)</f>
        <v>14057.471479334206</v>
      </c>
      <c r="G145" s="8">
        <f>SUMIF(Tracker!$U$9:$U$491, E145, Tracker!$J$9:$J$491)</f>
        <v>97.145128109220124</v>
      </c>
      <c r="H145" s="49">
        <f t="shared" si="3"/>
        <v>29.317273525053587</v>
      </c>
      <c r="I145" s="8">
        <f>H145*(21600/VLOOKUP(E145, Tracker!$U$9:$W$491, 3, FALSE))</f>
        <v>31.662655407057876</v>
      </c>
    </row>
    <row r="146" spans="1:9" ht="25" customHeight="1" x14ac:dyDescent="0.35">
      <c r="A146" s="8" t="s">
        <v>89</v>
      </c>
      <c r="B146" s="152">
        <f>SUMIF(Tracker!$U$9:$U$491, A146, Tracker!$H$9:$H$491)+SUMIF(Tracker!$U$9:$U$491, A146, Tracker!$I$9:$I$491)</f>
        <v>12171.713110155226</v>
      </c>
      <c r="C146" s="8">
        <f>SUMIF(Tracker!$U$9:$U$491, A146, Tracker!$J$9:$J$491)</f>
        <v>54.858425285206657</v>
      </c>
      <c r="E146" s="8" t="s">
        <v>95</v>
      </c>
      <c r="F146" s="91">
        <f>SUMIF(Tracker!$U$9:$U$491, E146, Tracker!$H$9:$H$491)+SUMIF(Tracker!$U$9:$U$491, E146, Tracker!$I$9:$I$491)</f>
        <v>10543.103609500655</v>
      </c>
      <c r="G146" s="8">
        <f>SUMIF(Tracker!$U$9:$U$491, E146, Tracker!$J$9:$J$491)</f>
        <v>72.85884608191509</v>
      </c>
      <c r="H146" s="49">
        <f t="shared" si="3"/>
        <v>21.987955143790188</v>
      </c>
      <c r="I146" s="8">
        <f>H146*(21600/VLOOKUP(E146, Tracker!$U$9:$W$491, 3, FALSE))</f>
        <v>23.746991555293405</v>
      </c>
    </row>
    <row r="147" spans="1:9" ht="25" customHeight="1" x14ac:dyDescent="0.35">
      <c r="A147" s="8" t="s">
        <v>75</v>
      </c>
      <c r="B147" s="152">
        <f>SUMIF(Tracker!$U$9:$U$491, A147, Tracker!$H$9:$H$491)+SUMIF(Tracker!$U$9:$U$491, A147, Tracker!$I$9:$I$491)</f>
        <v>12171.713110155226</v>
      </c>
      <c r="C147" s="8">
        <f>SUMIF(Tracker!$U$9:$U$491, A147, Tracker!$J$9:$J$491)</f>
        <v>54.858425285206657</v>
      </c>
      <c r="E147" s="8" t="s">
        <v>94</v>
      </c>
      <c r="F147" s="91">
        <f>SUMIF(Tracker!$U$9:$U$491, E147, Tracker!$H$9:$H$491)+SUMIF(Tracker!$U$9:$U$491, E147, Tracker!$I$9:$I$491)</f>
        <v>10543.103609500655</v>
      </c>
      <c r="G147" s="8">
        <f>SUMIF(Tracker!$U$9:$U$491, E147, Tracker!$J$9:$J$491)</f>
        <v>72.85884608191509</v>
      </c>
      <c r="H147" s="49">
        <f t="shared" si="3"/>
        <v>21.987955143790188</v>
      </c>
      <c r="I147" s="8">
        <f>H147*(21600/VLOOKUP(E147, Tracker!$U$9:$W$491, 3, FALSE))</f>
        <v>23.746991555293405</v>
      </c>
    </row>
    <row r="148" spans="1:9" ht="25" customHeight="1" x14ac:dyDescent="0.35">
      <c r="A148" s="8" t="s">
        <v>91</v>
      </c>
      <c r="B148" s="152">
        <f>SUMIF(Tracker!$U$9:$U$491, A148, Tracker!$H$9:$H$491)+SUMIF(Tracker!$U$9:$U$491, A148, Tracker!$I$9:$I$491)</f>
        <v>10971.685057041332</v>
      </c>
      <c r="C148" s="8">
        <f>SUMIF(Tracker!$U$9:$U$491, A148, Tracker!$J$9:$J$491)</f>
        <v>72.85884608191509</v>
      </c>
      <c r="E148" s="8" t="s">
        <v>37</v>
      </c>
      <c r="F148" s="91">
        <f>SUMIF(Tracker!$U$9:$U$491, E148, Tracker!$H$9:$H$491)+SUMIF(Tracker!$U$9:$U$491, E148, Tracker!$I$9:$I$491)</f>
        <v>14560</v>
      </c>
      <c r="G148" s="8">
        <f>SUMIF(Tracker!$U$9:$U$491, E148, Tracker!$J$9:$J$491)</f>
        <v>10.4</v>
      </c>
      <c r="H148" s="49">
        <f t="shared" si="3"/>
        <v>13.180952380952382</v>
      </c>
      <c r="I148" s="8">
        <f>H148*(21600/VLOOKUP(E148, Tracker!$U$9:$W$491, 3, FALSE))</f>
        <v>8.6275324675324683</v>
      </c>
    </row>
    <row r="149" spans="1:9" ht="25" customHeight="1" x14ac:dyDescent="0.35">
      <c r="A149" s="8" t="s">
        <v>20</v>
      </c>
      <c r="B149" s="152">
        <f>SUMIF(Tracker!$U$9:$U$491, A149, Tracker!$H$9:$H$491)+SUMIF(Tracker!$U$9:$U$491, A149, Tracker!$I$9:$I$491)</f>
        <v>16894.987843650648</v>
      </c>
      <c r="C149" s="8">
        <f>SUMIF(Tracker!$U$9:$U$491, A149, Tracker!$J$9:$J$491)</f>
        <v>55.545165513371984</v>
      </c>
      <c r="E149" s="8" t="s">
        <v>39</v>
      </c>
      <c r="F149" s="91">
        <f>SUMIF(Tracker!$U$9:$U$491, E149, Tracker!$H$9:$H$491)+SUMIF(Tracker!$U$9:$U$491, E149, Tracker!$I$9:$I$491)</f>
        <v>10660</v>
      </c>
      <c r="G149" s="8">
        <f>SUMIF(Tracker!$U$9:$U$491, E149, Tracker!$J$9:$J$491)</f>
        <v>10.4</v>
      </c>
      <c r="H149" s="49">
        <f t="shared" si="3"/>
        <v>10.18095238095238</v>
      </c>
      <c r="I149" s="8">
        <f>H149*(21600/VLOOKUP(E149, Tracker!$U$9:$W$491, 3, FALSE))</f>
        <v>6.6638961038961035</v>
      </c>
    </row>
    <row r="150" spans="1:9" ht="25" customHeight="1" x14ac:dyDescent="0.35">
      <c r="A150" s="8" t="s">
        <v>23</v>
      </c>
      <c r="B150" s="152">
        <f>SUMIF(Tracker!$U$9:$U$491, A150, Tracker!$H$9:$H$491)+SUMIF(Tracker!$U$9:$U$491, A150, Tracker!$I$9:$I$491)</f>
        <v>10954.740976248364</v>
      </c>
      <c r="C150" s="8">
        <f>SUMIF(Tracker!$U$9:$U$491, A150, Tracker!$J$9:$J$491)</f>
        <v>49.373480456330654</v>
      </c>
      <c r="E150" s="8" t="s">
        <v>255</v>
      </c>
      <c r="F150" s="91">
        <f>SUMIF(Tracker!$U$9:$U$491, E150, Tracker!$H$9:$H$491)+SUMIF(Tracker!$U$9:$U$491, E150, Tracker!$I$9:$I$491)</f>
        <v>10286.141761735553</v>
      </c>
      <c r="G150" s="8">
        <f>SUMIF(Tracker!$U$9:$U$491, E150, Tracker!$J$9:$J$491)</f>
        <v>18.00074808303722</v>
      </c>
      <c r="H150" s="49">
        <f t="shared" si="3"/>
        <v>11.341130660375098</v>
      </c>
      <c r="I150" s="8">
        <f>H150*(21600/VLOOKUP(E150, Tracker!$U$9:$W$491, 3, FALSE))</f>
        <v>12.248421113205106</v>
      </c>
    </row>
    <row r="151" spans="1:9" ht="25" customHeight="1" x14ac:dyDescent="0.35">
      <c r="A151" s="8" t="s">
        <v>24</v>
      </c>
      <c r="B151" s="152">
        <f>SUMIF(Tracker!$U$9:$U$491, A151, Tracker!$H$9:$H$491)+SUMIF(Tracker!$U$9:$U$491, A151, Tracker!$I$9:$I$491)</f>
        <v>10954.740976248364</v>
      </c>
      <c r="C151" s="8">
        <f>SUMIF(Tracker!$U$9:$U$491, A151, Tracker!$J$9:$J$491)</f>
        <v>49.373480456330654</v>
      </c>
      <c r="E151" s="8" t="s">
        <v>43</v>
      </c>
      <c r="F151" s="91">
        <f>SUMIF(Tracker!$U$9:$U$491, E151, Tracker!$H$9:$H$491)+SUMIF(Tracker!$U$9:$U$491, E151, Tracker!$I$9:$I$491)</f>
        <v>19323.279409014398</v>
      </c>
      <c r="G151" s="8">
        <f>SUMIF(Tracker!$U$9:$U$491, E151, Tracker!$J$9:$J$491)</f>
        <v>51.00561062277913</v>
      </c>
      <c r="H151" s="49">
        <f t="shared" si="3"/>
        <v>24.579415488196112</v>
      </c>
      <c r="I151" s="8">
        <f>H151*(21600/VLOOKUP(E151, Tracker!$U$9:$W$491, 3, FALSE))</f>
        <v>24.579415488196112</v>
      </c>
    </row>
    <row r="152" spans="1:9" ht="25" customHeight="1" x14ac:dyDescent="0.35">
      <c r="A152" s="8" t="s">
        <v>39</v>
      </c>
      <c r="B152" s="152">
        <f>SUMIF(Tracker!$U$9:$U$491, A152, Tracker!$H$9:$H$491)+SUMIF(Tracker!$U$9:$U$491, A152, Tracker!$I$9:$I$491)</f>
        <v>10660</v>
      </c>
      <c r="C152" s="8">
        <f>SUMIF(Tracker!$U$9:$U$491, A152, Tracker!$J$9:$J$491)</f>
        <v>10.4</v>
      </c>
      <c r="E152" s="8" t="s">
        <v>11</v>
      </c>
      <c r="F152" s="91">
        <f>SUMIF(Tracker!$U$9:$U$491, E152, Tracker!$H$9:$H$491)+SUMIF(Tracker!$U$9:$U$491, E152, Tracker!$I$9:$I$491)</f>
        <v>0</v>
      </c>
      <c r="G152" s="8">
        <f>SUMIF(Tracker!$U$9:$U$491, E152, Tracker!$J$9:$J$491)</f>
        <v>0</v>
      </c>
      <c r="H152" s="49">
        <f t="shared" si="3"/>
        <v>0</v>
      </c>
      <c r="I152" s="8">
        <f>H152*(21600/VLOOKUP(E152, Tracker!$U$9:$W$491, 3, FALSE))</f>
        <v>0</v>
      </c>
    </row>
    <row r="153" spans="1:9" ht="25" customHeight="1" x14ac:dyDescent="0.35">
      <c r="A153" s="8" t="s">
        <v>95</v>
      </c>
      <c r="B153" s="152">
        <f>SUMIF(Tracker!$U$9:$U$491, A153, Tracker!$H$9:$H$491)+SUMIF(Tracker!$U$9:$U$491, A153, Tracker!$I$9:$I$491)</f>
        <v>10543.103609500655</v>
      </c>
      <c r="C153" s="8">
        <f>SUMIF(Tracker!$U$9:$U$491, A153, Tracker!$J$9:$J$491)</f>
        <v>72.85884608191509</v>
      </c>
      <c r="E153" s="8" t="s">
        <v>57</v>
      </c>
      <c r="F153" s="91">
        <f>SUMIF(Tracker!$U$9:$U$491, E153, Tracker!$H$9:$H$491)+SUMIF(Tracker!$U$9:$U$491, E153, Tracker!$I$9:$I$491)</f>
        <v>7357.396671030484</v>
      </c>
      <c r="G153" s="8">
        <f>SUMIF(Tracker!$U$9:$U$491, E153, Tracker!$J$9:$J$491)</f>
        <v>42.672900691976807</v>
      </c>
      <c r="H153" s="49">
        <f t="shared" si="3"/>
        <v>13.787707461169214</v>
      </c>
      <c r="I153" s="8">
        <f>H153*(21600/VLOOKUP(E153, Tracker!$U$9:$W$491, 3, FALSE))</f>
        <v>16.545248953403057</v>
      </c>
    </row>
    <row r="154" spans="1:9" ht="25" customHeight="1" x14ac:dyDescent="0.35">
      <c r="A154" s="8" t="s">
        <v>94</v>
      </c>
      <c r="B154" s="152">
        <f>SUMIF(Tracker!$U$9:$U$491, A154, Tracker!$H$9:$H$491)+SUMIF(Tracker!$U$9:$U$491, A154, Tracker!$I$9:$I$491)</f>
        <v>10543.103609500655</v>
      </c>
      <c r="C154" s="8">
        <f>SUMIF(Tracker!$U$9:$U$491, A154, Tracker!$J$9:$J$491)</f>
        <v>72.85884608191509</v>
      </c>
      <c r="E154" s="8" t="s">
        <v>48</v>
      </c>
      <c r="F154" s="91">
        <f>SUMIF(Tracker!$U$9:$U$491, E154, Tracker!$H$9:$H$491)+SUMIF(Tracker!$U$9:$U$491, E154, Tracker!$I$9:$I$491)</f>
        <v>21557.172246119317</v>
      </c>
      <c r="G154" s="8">
        <f>SUMIF(Tracker!$U$9:$U$491, E154, Tracker!$J$9:$J$491)</f>
        <v>130.96166074434262</v>
      </c>
      <c r="H154" s="49">
        <f t="shared" si="3"/>
        <v>41.527518426340194</v>
      </c>
      <c r="I154" s="8">
        <f>H154*(21600/VLOOKUP(E154, Tracker!$U$9:$W$491, 3, FALSE))</f>
        <v>49.83302211160823</v>
      </c>
    </row>
    <row r="155" spans="1:9" ht="25" customHeight="1" x14ac:dyDescent="0.35">
      <c r="A155" s="8" t="s">
        <v>54</v>
      </c>
      <c r="B155" s="152">
        <f>SUMIF(Tracker!$U$9:$U$491, A155, Tracker!$H$9:$H$491)+SUMIF(Tracker!$U$9:$U$491, A155, Tracker!$I$9:$I$491)</f>
        <v>10447.503272863287</v>
      </c>
      <c r="C155" s="8">
        <f>SUMIF(Tracker!$U$9:$U$491, A155, Tracker!$J$9:$J$491)</f>
        <v>47.087338694595097</v>
      </c>
      <c r="E155" s="8" t="s">
        <v>51</v>
      </c>
      <c r="F155" s="91">
        <f>SUMIF(Tracker!$U$9:$U$491, E155, Tracker!$H$9:$H$491)+SUMIF(Tracker!$U$9:$U$491, E155, Tracker!$I$9:$I$491)</f>
        <v>34358.378530016831</v>
      </c>
      <c r="G155" s="8">
        <f>SUMIF(Tracker!$U$9:$U$491, E155, Tracker!$J$9:$J$491)</f>
        <v>172.72049747521976</v>
      </c>
      <c r="H155" s="49">
        <f t="shared" si="3"/>
        <v>59.328664322399128</v>
      </c>
      <c r="I155" s="8">
        <f>H155*(21600/VLOOKUP(E155, Tracker!$U$9:$W$491, 3, FALSE))</f>
        <v>64.074957468191059</v>
      </c>
    </row>
    <row r="156" spans="1:9" ht="25" customHeight="1" x14ac:dyDescent="0.35">
      <c r="A156" s="8" t="s">
        <v>255</v>
      </c>
      <c r="B156" s="152">
        <f>SUMIF(Tracker!$U$9:$U$491, A156, Tracker!$H$9:$H$491)+SUMIF(Tracker!$U$9:$U$491, A156, Tracker!$I$9:$I$491)</f>
        <v>10286.141761735553</v>
      </c>
      <c r="C156" s="8">
        <f>SUMIF(Tracker!$U$9:$U$491, A156, Tracker!$J$9:$J$491)</f>
        <v>18.00074808303722</v>
      </c>
      <c r="E156" s="8" t="s">
        <v>91</v>
      </c>
      <c r="F156" s="91">
        <f>SUMIF(Tracker!$U$9:$U$491, E156, Tracker!$H$9:$H$491)+SUMIF(Tracker!$U$9:$U$491, E156, Tracker!$I$9:$I$491)</f>
        <v>10971.685057041332</v>
      </c>
      <c r="G156" s="8">
        <f>SUMIF(Tracker!$U$9:$U$491, E156, Tracker!$J$9:$J$491)</f>
        <v>72.85884608191509</v>
      </c>
      <c r="H156" s="49">
        <f t="shared" si="3"/>
        <v>22.317633180359945</v>
      </c>
      <c r="I156" s="8">
        <f>H156*(21600/VLOOKUP(E156, Tracker!$U$9:$W$491, 3, FALSE))</f>
        <v>24.103043834788743</v>
      </c>
    </row>
    <row r="157" spans="1:9" ht="25" customHeight="1" x14ac:dyDescent="0.35">
      <c r="A157" s="8" t="s">
        <v>319</v>
      </c>
      <c r="B157" s="152">
        <f>SUMIF(Tracker!$U$9:$U$491, A157, Tracker!$H$9:$H$491)+SUMIF(Tracker!$U$9:$U$491, A157, Tracker!$I$9:$I$491)</f>
        <v>10142.762296614925</v>
      </c>
      <c r="C157" s="8">
        <f>SUMIF(Tracker!$U$9:$U$491, A157, Tracker!$J$9:$J$491)</f>
        <v>45.71385823826445</v>
      </c>
      <c r="E157" s="8" t="s">
        <v>44</v>
      </c>
      <c r="F157" s="91">
        <f>SUMIF(Tracker!$U$9:$U$491, E157, Tracker!$H$9:$H$491)+SUMIF(Tracker!$U$9:$U$491, E157, Tracker!$I$9:$I$491)</f>
        <v>0</v>
      </c>
      <c r="G157" s="8">
        <f>SUMIF(Tracker!$U$9:$U$491, E157, Tracker!$J$9:$J$491)</f>
        <v>0</v>
      </c>
      <c r="H157" s="49">
        <f t="shared" si="3"/>
        <v>0</v>
      </c>
      <c r="I157" s="8">
        <f>H157*(21600/VLOOKUP(E157, Tracker!$U$9:$W$491, 3, FALSE))</f>
        <v>0</v>
      </c>
    </row>
    <row r="158" spans="1:9" ht="25" customHeight="1" x14ac:dyDescent="0.35">
      <c r="A158" s="8" t="s">
        <v>57</v>
      </c>
      <c r="B158" s="152">
        <f>SUMIF(Tracker!$U$9:$U$491, A158, Tracker!$H$9:$H$491)+SUMIF(Tracker!$U$9:$U$491, A158, Tracker!$I$9:$I$491)</f>
        <v>7357.396671030484</v>
      </c>
      <c r="C158" s="8">
        <f>SUMIF(Tracker!$U$9:$U$491, A158, Tracker!$J$9:$J$491)</f>
        <v>42.672900691976807</v>
      </c>
      <c r="E158" s="8" t="s">
        <v>54</v>
      </c>
      <c r="F158" s="91">
        <f>SUMIF(Tracker!$U$9:$U$491, E158, Tracker!$H$9:$H$491)+SUMIF(Tracker!$U$9:$U$491, E158, Tracker!$I$9:$I$491)</f>
        <v>10447.503272863287</v>
      </c>
      <c r="G158" s="8">
        <f>SUMIF(Tracker!$U$9:$U$491, E158, Tracker!$J$9:$J$491)</f>
        <v>47.087338694595097</v>
      </c>
      <c r="H158" s="49">
        <f t="shared" si="3"/>
        <v>17.005557873334194</v>
      </c>
      <c r="I158" s="8">
        <f>H158*(21600/VLOOKUP(E158, Tracker!$U$9:$W$491, 3, FALSE))</f>
        <v>20.406669448001033</v>
      </c>
    </row>
    <row r="159" spans="1:9" ht="25" customHeight="1" x14ac:dyDescent="0.35">
      <c r="A159" s="8" t="s">
        <v>15</v>
      </c>
      <c r="B159" s="152">
        <f>SUMIF(Tracker!$U$9:$U$491, A159, Tracker!$H$9:$H$491)+SUMIF(Tracker!$U$9:$U$491, A159, Tracker!$I$9:$I$491)</f>
        <v>7303.160650832242</v>
      </c>
      <c r="C159" s="8">
        <f>SUMIF(Tracker!$U$9:$U$491, A159, Tracker!$J$9:$J$491)</f>
        <v>32.915653637553767</v>
      </c>
      <c r="E159" s="8" t="s">
        <v>66</v>
      </c>
      <c r="F159" s="91">
        <f>SUMIF(Tracker!$U$9:$U$491, E159, Tracker!$H$9:$H$491)+SUMIF(Tracker!$U$9:$U$491, E159, Tracker!$I$9:$I$491)</f>
        <v>0</v>
      </c>
      <c r="G159" s="8">
        <f>SUMIF(Tracker!$U$9:$U$491, E159, Tracker!$J$9:$J$491)</f>
        <v>0</v>
      </c>
      <c r="H159" s="49">
        <f t="shared" si="3"/>
        <v>0</v>
      </c>
      <c r="I159" s="8">
        <f>H159*(21600/VLOOKUP(E159, Tracker!$U$9:$W$491, 3, FALSE))</f>
        <v>0</v>
      </c>
    </row>
    <row r="160" spans="1:9" ht="25" customHeight="1" x14ac:dyDescent="0.35">
      <c r="A160" s="8" t="s">
        <v>11</v>
      </c>
      <c r="B160" s="152">
        <f>SUMIF(Tracker!$U$9:$U$491, A160, Tracker!$H$9:$H$491)+SUMIF(Tracker!$U$9:$U$491, A160, Tracker!$I$9:$I$491)</f>
        <v>0</v>
      </c>
      <c r="C160" s="8">
        <f>SUMIF(Tracker!$U$9:$U$491, A160, Tracker!$J$9:$J$491)</f>
        <v>0</v>
      </c>
      <c r="E160" s="8" t="s">
        <v>67</v>
      </c>
      <c r="F160" s="91">
        <f>SUMIF(Tracker!$U$9:$U$491, E160, Tracker!$H$9:$H$491)+SUMIF(Tracker!$U$9:$U$491, E160, Tracker!$I$9:$I$491)</f>
        <v>0</v>
      </c>
      <c r="G160" s="8">
        <f>SUMIF(Tracker!$U$9:$U$491, E160, Tracker!$J$9:$J$491)</f>
        <v>0</v>
      </c>
      <c r="H160" s="49">
        <f t="shared" si="3"/>
        <v>0</v>
      </c>
      <c r="I160" s="8">
        <f>H160*(21600/VLOOKUP(E160, Tracker!$U$9:$W$491, 3, FALSE))</f>
        <v>0</v>
      </c>
    </row>
    <row r="161" spans="1:9" ht="25" customHeight="1" x14ac:dyDescent="0.35">
      <c r="A161" s="8" t="s">
        <v>44</v>
      </c>
      <c r="B161" s="152">
        <f>SUMIF(Tracker!$U$9:$U$491, A161, Tracker!$H$9:$H$491)+SUMIF(Tracker!$U$9:$U$491, A161, Tracker!$I$9:$I$491)</f>
        <v>0</v>
      </c>
      <c r="C161" s="8">
        <f>SUMIF(Tracker!$U$9:$U$491, A161, Tracker!$J$9:$J$491)</f>
        <v>0</v>
      </c>
      <c r="E161" s="8" t="s">
        <v>74</v>
      </c>
      <c r="F161" s="91">
        <f>SUMIF(Tracker!$U$9:$U$491, E161, Tracker!$H$9:$H$491)+SUMIF(Tracker!$U$9:$U$491, E161, Tracker!$I$9:$I$491)</f>
        <v>0</v>
      </c>
      <c r="G161" s="8">
        <f>SUMIF(Tracker!$U$9:$U$491, E161, Tracker!$J$9:$J$491)</f>
        <v>0</v>
      </c>
      <c r="H161" s="49">
        <f t="shared" si="3"/>
        <v>0</v>
      </c>
      <c r="I161" s="8">
        <f>H161*(21600/VLOOKUP(E161, Tracker!$U$9:$W$491, 3, FALSE))</f>
        <v>0</v>
      </c>
    </row>
    <row r="162" spans="1:9" ht="25" customHeight="1" x14ac:dyDescent="0.35">
      <c r="A162" s="8" t="s">
        <v>66</v>
      </c>
      <c r="B162" s="152">
        <f>SUMIF(Tracker!$U$9:$U$491, A162, Tracker!$H$9:$H$491)+SUMIF(Tracker!$U$9:$U$491, A162, Tracker!$I$9:$I$491)</f>
        <v>0</v>
      </c>
      <c r="C162" s="8">
        <f>SUMIF(Tracker!$U$9:$U$491, A162, Tracker!$J$9:$J$491)</f>
        <v>0</v>
      </c>
      <c r="E162" s="8" t="s">
        <v>75</v>
      </c>
      <c r="F162" s="91">
        <f>SUMIF(Tracker!$U$9:$U$491, E162, Tracker!$H$9:$H$491)+SUMIF(Tracker!$U$9:$U$491, E162, Tracker!$I$9:$I$491)</f>
        <v>12171.713110155226</v>
      </c>
      <c r="G162" s="8">
        <f>SUMIF(Tracker!$U$9:$U$491, E162, Tracker!$J$9:$J$491)</f>
        <v>54.858425285206657</v>
      </c>
      <c r="H162" s="49">
        <f t="shared" si="3"/>
        <v>19.812080102429832</v>
      </c>
      <c r="I162" s="8">
        <f>H162*(21600/VLOOKUP(E162, Tracker!$U$9:$W$491, 3, FALSE))</f>
        <v>21.397046510624218</v>
      </c>
    </row>
    <row r="163" spans="1:9" ht="25" customHeight="1" x14ac:dyDescent="0.35">
      <c r="A163" s="8" t="s">
        <v>67</v>
      </c>
      <c r="B163" s="152">
        <f>SUMIF(Tracker!$U$9:$U$491, A163, Tracker!$H$9:$H$491)+SUMIF(Tracker!$U$9:$U$491, A163, Tracker!$I$9:$I$491)</f>
        <v>0</v>
      </c>
      <c r="C163" s="8">
        <f>SUMIF(Tracker!$U$9:$U$491, A163, Tracker!$J$9:$J$491)</f>
        <v>0</v>
      </c>
      <c r="E163" s="8" t="s">
        <v>79</v>
      </c>
      <c r="F163" s="91">
        <f>SUMIF(Tracker!$U$9:$U$491, E163, Tracker!$H$9:$H$491)+SUMIF(Tracker!$U$9:$U$491, E163, Tracker!$I$9:$I$491)</f>
        <v>28972.470544230411</v>
      </c>
      <c r="G163" s="8">
        <f>SUMIF(Tracker!$U$9:$U$491, E163, Tracker!$J$9:$J$491)</f>
        <v>145.79095754628764</v>
      </c>
      <c r="H163" s="49">
        <f t="shared" si="3"/>
        <v>50.056222002547045</v>
      </c>
      <c r="I163" s="8">
        <f>H163*(21600/VLOOKUP(E163, Tracker!$U$9:$W$491, 3, FALSE))</f>
        <v>54.060719762750814</v>
      </c>
    </row>
    <row r="164" spans="1:9" ht="25" customHeight="1" x14ac:dyDescent="0.35">
      <c r="A164" s="8" t="s">
        <v>74</v>
      </c>
      <c r="B164" s="152">
        <f>SUMIF(Tracker!$U$9:$U$491, A164, Tracker!$H$9:$H$491)+SUMIF(Tracker!$U$9:$U$491, A164, Tracker!$I$9:$I$491)</f>
        <v>0</v>
      </c>
      <c r="C164" s="8">
        <f>SUMIF(Tracker!$U$9:$U$491, A164, Tracker!$J$9:$J$491)</f>
        <v>0</v>
      </c>
      <c r="E164" s="8" t="s">
        <v>96</v>
      </c>
      <c r="F164" s="91">
        <f>SUMIF(Tracker!$U$9:$U$491, E164, Tracker!$H$9:$H$491)+SUMIF(Tracker!$U$9:$U$491, E164, Tracker!$I$9:$I$491)</f>
        <v>0</v>
      </c>
      <c r="G164" s="8">
        <f>SUMIF(Tracker!$U$9:$U$491, E164, Tracker!$J$9:$J$491)</f>
        <v>0</v>
      </c>
      <c r="H164" s="49">
        <f t="shared" ref="H164:H170" si="4">80*((F164/52000)+(G164/210))/2</f>
        <v>0</v>
      </c>
      <c r="I164" s="8">
        <f>H164*(21600/VLOOKUP(E164, Tracker!$U$9:$W$491, 3, FALSE))</f>
        <v>0</v>
      </c>
    </row>
    <row r="165" spans="1:9" ht="25" customHeight="1" x14ac:dyDescent="0.35">
      <c r="A165" s="8" t="s">
        <v>96</v>
      </c>
      <c r="B165" s="152">
        <f>SUMIF(Tracker!$U$9:$U$491, A165, Tracker!$H$9:$H$491)+SUMIF(Tracker!$U$9:$U$491, A165, Tracker!$I$9:$I$491)</f>
        <v>0</v>
      </c>
      <c r="C165" s="8">
        <f>SUMIF(Tracker!$U$9:$U$491, A165, Tracker!$J$9:$J$491)</f>
        <v>0</v>
      </c>
      <c r="E165" s="8" t="s">
        <v>319</v>
      </c>
      <c r="F165" s="91">
        <f>SUMIF(Tracker!$U$9:$U$491, E165, Tracker!$H$9:$H$491)+SUMIF(Tracker!$U$9:$U$491, E165, Tracker!$I$9:$I$491)</f>
        <v>10142.762296614925</v>
      </c>
      <c r="G165" s="8">
        <f>SUMIF(Tracker!$U$9:$U$491, E165, Tracker!$J$9:$J$491)</f>
        <v>45.71385823826445</v>
      </c>
      <c r="H165" s="49">
        <f t="shared" si="4"/>
        <v>16.50952641274317</v>
      </c>
      <c r="I165" s="8">
        <f>H165*(21600/VLOOKUP(E165, Tracker!$U$9:$W$491, 3, FALSE))</f>
        <v>17.830288525762626</v>
      </c>
    </row>
    <row r="166" spans="1:9" ht="25" customHeight="1" x14ac:dyDescent="0.35">
      <c r="A166" s="8" t="s">
        <v>307</v>
      </c>
      <c r="B166" s="152">
        <f>SUMIF(Tracker!$U$9:$U$491, A166, Tracker!$H$9:$H$491)+SUMIF(Tracker!$U$9:$U$491, A166, Tracker!$I$9:$I$491)</f>
        <v>0</v>
      </c>
      <c r="C166" s="8">
        <f>SUMIF(Tracker!$U$9:$U$491, A166, Tracker!$J$9:$J$491)</f>
        <v>0</v>
      </c>
      <c r="E166" s="8" t="s">
        <v>307</v>
      </c>
      <c r="F166" s="91">
        <f>SUMIF(Tracker!$U$9:$U$491, E166, Tracker!$H$9:$H$491)+SUMIF(Tracker!$U$9:$U$491, E166, Tracker!$I$9:$I$491)</f>
        <v>0</v>
      </c>
      <c r="G166" s="8">
        <f>SUMIF(Tracker!$U$9:$U$491, E166, Tracker!$J$9:$J$491)</f>
        <v>0</v>
      </c>
      <c r="H166" s="49">
        <f t="shared" si="4"/>
        <v>0</v>
      </c>
      <c r="I166" s="8">
        <f>H166*(21600/VLOOKUP(E166, Tracker!$U$9:$W$491, 3, FALSE))</f>
        <v>0</v>
      </c>
    </row>
    <row r="167" spans="1:9" ht="25" customHeight="1" x14ac:dyDescent="0.35">
      <c r="A167" s="8" t="s">
        <v>308</v>
      </c>
      <c r="B167" s="152">
        <f>SUMIF(Tracker!$U$9:$U$491, A167, Tracker!$H$9:$H$491)+SUMIF(Tracker!$U$9:$U$491, A167, Tracker!$I$9:$I$491)</f>
        <v>0</v>
      </c>
      <c r="C167" s="8">
        <f>SUMIF(Tracker!$U$9:$U$491, A167, Tracker!$J$9:$J$491)</f>
        <v>0</v>
      </c>
      <c r="E167" s="8" t="s">
        <v>308</v>
      </c>
      <c r="F167" s="91">
        <f>SUMIF(Tracker!$U$9:$U$491, E167, Tracker!$H$9:$H$491)+SUMIF(Tracker!$U$9:$U$491, E167, Tracker!$I$9:$I$491)</f>
        <v>0</v>
      </c>
      <c r="G167" s="8">
        <f>SUMIF(Tracker!$U$9:$U$491, E167, Tracker!$J$9:$J$491)</f>
        <v>0</v>
      </c>
      <c r="H167" s="49">
        <f t="shared" si="4"/>
        <v>0</v>
      </c>
      <c r="I167" s="8">
        <f>H167*(21600/VLOOKUP(E167, Tracker!$U$9:$W$491, 3, FALSE))</f>
        <v>0</v>
      </c>
    </row>
    <row r="168" spans="1:9" ht="25" customHeight="1" x14ac:dyDescent="0.35">
      <c r="A168" s="150" t="s">
        <v>301</v>
      </c>
      <c r="B168" s="152">
        <f>SUMIF(Tracker!$U$9:$U$491, A168, Tracker!$H$9:$H$491)+SUMIF(Tracker!$U$9:$U$491, A168, Tracker!$I$9:$I$491)</f>
        <v>0</v>
      </c>
      <c r="C168" s="8">
        <f>SUMIF(Tracker!$U$9:$U$491, A168, Tracker!$J$9:$J$491)</f>
        <v>0</v>
      </c>
      <c r="E168" s="150" t="s">
        <v>301</v>
      </c>
      <c r="F168" s="91">
        <f>SUMIF(Tracker!$U$9:$U$491, E168, Tracker!$H$9:$H$491)+SUMIF(Tracker!$U$9:$U$491, E168, Tracker!$I$9:$I$491)</f>
        <v>0</v>
      </c>
      <c r="G168" s="8">
        <f>SUMIF(Tracker!$U$9:$U$491, E168, Tracker!$J$9:$J$491)</f>
        <v>0</v>
      </c>
      <c r="H168" s="49">
        <f t="shared" si="4"/>
        <v>0</v>
      </c>
      <c r="I168" s="8">
        <f>H168*(21600/VLOOKUP(E168, Tracker!$U$9:$W$491, 3, FALSE))</f>
        <v>0</v>
      </c>
    </row>
    <row r="169" spans="1:9" ht="25" customHeight="1" x14ac:dyDescent="0.35">
      <c r="A169" s="150" t="s">
        <v>302</v>
      </c>
      <c r="B169" s="151">
        <f>SUMIF(Tracker!$U$9:$U$491, A169, Tracker!$H$9:$H$491)+SUMIF(Tracker!$U$9:$U$491, A169, Tracker!$I$9:$I$491)</f>
        <v>0</v>
      </c>
      <c r="C169" s="8">
        <f>SUMIF(Tracker!$U$9:$U$491, A169, Tracker!$J$9:$J$491)</f>
        <v>0</v>
      </c>
      <c r="E169" s="150" t="s">
        <v>302</v>
      </c>
      <c r="F169" s="91">
        <f>SUMIF(Tracker!$U$9:$U$491, E169, Tracker!$H$9:$H$491)+SUMIF(Tracker!$U$9:$U$491, E169, Tracker!$I$9:$I$491)</f>
        <v>0</v>
      </c>
      <c r="G169" s="8">
        <f>SUMIF(Tracker!$U$9:$U$491, E169, Tracker!$J$9:$J$491)</f>
        <v>0</v>
      </c>
      <c r="H169" s="49">
        <f t="shared" si="4"/>
        <v>0</v>
      </c>
      <c r="I169" s="8">
        <f>H169*(21600/VLOOKUP(E169, Tracker!$U$9:$W$491, 3, FALSE))</f>
        <v>0</v>
      </c>
    </row>
    <row r="170" spans="1:9" ht="25" customHeight="1" x14ac:dyDescent="0.35">
      <c r="A170" s="150" t="s">
        <v>303</v>
      </c>
      <c r="B170" s="151">
        <f>SUMIF(Tracker!$U$9:$U$491, A170, Tracker!$H$9:$H$491)+SUMIF(Tracker!$U$9:$U$491, A170, Tracker!$I$9:$I$491)</f>
        <v>0</v>
      </c>
      <c r="C170" s="8">
        <f>SUMIF(Tracker!$U$9:$U$491, A170, Tracker!$J$9:$J$491)</f>
        <v>0</v>
      </c>
      <c r="E170" s="150" t="s">
        <v>303</v>
      </c>
      <c r="F170" s="91">
        <f>SUMIF(Tracker!$U$9:$U$491, E170, Tracker!$H$9:$H$491)+SUMIF(Tracker!$U$9:$U$491, E170, Tracker!$I$9:$I$491)</f>
        <v>0</v>
      </c>
      <c r="G170" s="8">
        <f>SUMIF(Tracker!$U$9:$U$491, E170, Tracker!$J$9:$J$491)</f>
        <v>0</v>
      </c>
      <c r="H170" s="49">
        <f t="shared" si="4"/>
        <v>0</v>
      </c>
      <c r="I170" s="8">
        <f>H170*(21600/VLOOKUP(E170, Tracker!$U$9:$W$491, 3, FALSE))</f>
        <v>0</v>
      </c>
    </row>
  </sheetData>
  <sortState xmlns:xlrd2="http://schemas.microsoft.com/office/spreadsheetml/2017/richdata2" ref="A99:C170">
    <sortCondition descending="1" ref="B99:B170"/>
  </sortState>
  <mergeCells count="5">
    <mergeCell ref="B20:C20"/>
    <mergeCell ref="D20:D21"/>
    <mergeCell ref="D22:D23"/>
    <mergeCell ref="E20:E21"/>
    <mergeCell ref="E22:E23"/>
  </mergeCells>
  <phoneticPr fontId="2" type="noConversion"/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AD53D78F-62A3-4BE0-9121-EC7940E39163}">
            <x14:iconSet iconSet="3Triangles" custom="1">
              <x14:cfvo type="percent">
                <xm:f>0</xm:f>
              </x14:cfvo>
              <x14:cfvo type="num">
                <xm:f>0.3</xm:f>
              </x14:cfvo>
              <x14:cfvo type="num">
                <xm:f>0.505</xm:f>
              </x14:cfvo>
              <x14:cfIcon iconSet="3Flags" iconId="0"/>
              <x14:cfIcon iconSet="3Triangles" iconId="1"/>
              <x14:cfIcon iconSet="3Triangles" iconId="2"/>
            </x14:iconSet>
          </x14:cfRule>
          <xm:sqref>F3:F17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33D4-609A-4905-BF06-3011A9AF09B9}">
  <dimension ref="A1:G1"/>
  <sheetViews>
    <sheetView workbookViewId="0">
      <selection activeCell="C2" sqref="C2"/>
    </sheetView>
  </sheetViews>
  <sheetFormatPr defaultRowHeight="14.5" x14ac:dyDescent="0.35"/>
  <cols>
    <col min="1" max="1" width="13.6328125" bestFit="1" customWidth="1"/>
    <col min="6" max="6" width="10.81640625" bestFit="1" customWidth="1"/>
  </cols>
  <sheetData>
    <row r="1" spans="1:7" x14ac:dyDescent="0.35">
      <c r="A1" s="129">
        <f>Summary!C21</f>
        <v>1670508.0961286696</v>
      </c>
      <c r="B1" s="130">
        <f>Summary!C22</f>
        <v>7055.9397699644705</v>
      </c>
      <c r="C1" s="132">
        <f>Summary!C23</f>
        <v>15</v>
      </c>
      <c r="D1" s="131">
        <f>Summary!J4</f>
        <v>0.93055555555555558</v>
      </c>
      <c r="E1" s="116">
        <f>Summary!J3</f>
        <v>0.64709378138821827</v>
      </c>
      <c r="F1" s="8">
        <f>Tracker!AE115</f>
        <v>14571594.400000004</v>
      </c>
      <c r="G1" s="133">
        <f>Summary!J5</f>
        <v>7.3772553683058351E-2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6455-088D-47DE-BF56-CB47BC3707DB}">
  <dimension ref="A1:Q69"/>
  <sheetViews>
    <sheetView workbookViewId="0">
      <selection activeCell="G1" sqref="G1:J12"/>
    </sheetView>
  </sheetViews>
  <sheetFormatPr defaultRowHeight="14.5" x14ac:dyDescent="0.35"/>
  <cols>
    <col min="5" max="5" width="13.08984375" customWidth="1"/>
    <col min="6" max="6" width="12.90625" bestFit="1" customWidth="1"/>
    <col min="7" max="7" width="14.36328125" customWidth="1"/>
    <col min="9" max="9" width="11.6328125" customWidth="1"/>
    <col min="10" max="10" width="10.6328125" customWidth="1"/>
    <col min="13" max="13" width="10.7265625" customWidth="1"/>
  </cols>
  <sheetData>
    <row r="1" spans="1:17" x14ac:dyDescent="0.35">
      <c r="A1" s="8" t="str">
        <f>Summary!A99</f>
        <v>Britoil Defiance</v>
      </c>
      <c r="B1" s="91">
        <f>Summary!B99</f>
        <v>79887.581821582193</v>
      </c>
      <c r="C1" s="8">
        <f>Summary!C99</f>
        <v>385.15186085655506</v>
      </c>
      <c r="D1" s="8" t="s">
        <v>122</v>
      </c>
      <c r="E1" s="111">
        <f>Summary!F25</f>
        <v>477830.54984103231</v>
      </c>
      <c r="F1" s="91">
        <f>E1/23</f>
        <v>20775.241297436187</v>
      </c>
      <c r="G1" s="21" t="str">
        <f>Summary!A3</f>
        <v>MGPS</v>
      </c>
      <c r="H1" s="134">
        <f>Summary!C3</f>
        <v>48</v>
      </c>
      <c r="I1" s="134">
        <f>Summary!D3</f>
        <v>1</v>
      </c>
      <c r="J1" s="134">
        <f>Summary!E3</f>
        <v>67</v>
      </c>
      <c r="K1" s="24">
        <f>Summary!F3</f>
        <v>0.73134328358208955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17" x14ac:dyDescent="0.35">
      <c r="A2" s="8" t="str">
        <f>Summary!A100</f>
        <v>Britoil 81</v>
      </c>
      <c r="B2" s="91">
        <f>Summary!B100</f>
        <v>61944.305217879184</v>
      </c>
      <c r="C2" s="8">
        <f>Summary!C100</f>
        <v>285.72096502711798</v>
      </c>
      <c r="D2" s="8" t="s">
        <v>121</v>
      </c>
      <c r="E2" s="111">
        <f>Summary!D25</f>
        <v>393234.93080231902</v>
      </c>
      <c r="F2" s="91">
        <f>E2/16</f>
        <v>24577.183175144939</v>
      </c>
      <c r="G2" s="22" t="str">
        <f>Summary!A4</f>
        <v>EFMS</v>
      </c>
      <c r="H2" s="134">
        <f>Summary!C4</f>
        <v>17</v>
      </c>
      <c r="I2" s="134">
        <f>Summary!D4</f>
        <v>1</v>
      </c>
      <c r="J2" s="134">
        <f>Summary!E4</f>
        <v>70</v>
      </c>
      <c r="K2" s="25">
        <f>Summary!F4</f>
        <v>0.25714285714285712</v>
      </c>
    </row>
    <row r="3" spans="1:17" x14ac:dyDescent="0.35">
      <c r="A3" s="8" t="str">
        <f>Summary!A101</f>
        <v>BOS Pride</v>
      </c>
      <c r="B3" s="91">
        <f>Summary!B101</f>
        <v>48229.698896577516</v>
      </c>
      <c r="C3" s="8">
        <f>Summary!C101</f>
        <v>195.43314007854875</v>
      </c>
      <c r="D3" s="8" t="s">
        <v>120</v>
      </c>
      <c r="E3" s="111">
        <f>Summary!B25</f>
        <v>694442.61548531894</v>
      </c>
      <c r="F3" s="91">
        <f>E3/28</f>
        <v>24801.521981618534</v>
      </c>
      <c r="G3" s="22" t="str">
        <f>Summary!A5</f>
        <v>IWTM Filter</v>
      </c>
      <c r="H3" s="134">
        <f>Summary!C5</f>
        <v>29</v>
      </c>
      <c r="I3" s="134">
        <f>Summary!D5</f>
        <v>13</v>
      </c>
      <c r="J3" s="134">
        <f>Summary!E5</f>
        <v>44</v>
      </c>
      <c r="K3" s="25">
        <f>Summary!F5</f>
        <v>0.95454545454545459</v>
      </c>
    </row>
    <row r="4" spans="1:17" x14ac:dyDescent="0.35">
      <c r="A4" s="8" t="str">
        <f>Summary!A102</f>
        <v>BOS Champion</v>
      </c>
      <c r="B4" s="91">
        <f>Summary!B102</f>
        <v>47544.567046942218</v>
      </c>
      <c r="C4" s="8">
        <f>Summary!C102</f>
        <v>232.15120628389752</v>
      </c>
      <c r="G4" s="22" t="str">
        <f>Summary!A7</f>
        <v>CMCE LP</v>
      </c>
      <c r="H4" s="134">
        <f>Summary!C7</f>
        <v>12</v>
      </c>
      <c r="I4" s="134">
        <f>Summary!D7</f>
        <v>1</v>
      </c>
      <c r="J4" s="134">
        <f>Summary!E7</f>
        <v>45</v>
      </c>
      <c r="K4" s="25">
        <f>Summary!F7</f>
        <v>0.28888888888888886</v>
      </c>
    </row>
    <row r="5" spans="1:17" x14ac:dyDescent="0.35">
      <c r="A5" s="8" t="str">
        <f>Summary!A103</f>
        <v>Britoil Journey</v>
      </c>
      <c r="B5" s="91">
        <f>Summary!B103</f>
        <v>47000</v>
      </c>
      <c r="C5" s="8">
        <f>Summary!C103</f>
        <v>242</v>
      </c>
      <c r="G5" s="22" t="str">
        <f>Summary!A8</f>
        <v>LED lights</v>
      </c>
      <c r="H5" s="134">
        <f>Summary!C8</f>
        <v>26</v>
      </c>
      <c r="I5" s="134">
        <f>Summary!D8</f>
        <v>2</v>
      </c>
      <c r="J5" s="134">
        <f>Summary!E8</f>
        <v>70</v>
      </c>
      <c r="K5" s="25">
        <f>Summary!F8</f>
        <v>0.4</v>
      </c>
    </row>
    <row r="6" spans="1:17" x14ac:dyDescent="0.35">
      <c r="A6" s="8" t="str">
        <f>Summary!A104</f>
        <v>BOS Prince</v>
      </c>
      <c r="B6" s="91">
        <f>Summary!B104</f>
        <v>46400</v>
      </c>
      <c r="C6" s="8">
        <f>Summary!C104</f>
        <v>179</v>
      </c>
      <c r="G6" s="22" t="str">
        <f>Summary!A9</f>
        <v>Chlorinator</v>
      </c>
      <c r="H6" s="134">
        <f>Summary!C9</f>
        <v>1</v>
      </c>
      <c r="I6" s="134">
        <f>Summary!D9</f>
        <v>1</v>
      </c>
      <c r="J6" s="134">
        <f>Summary!E9</f>
        <v>2</v>
      </c>
      <c r="K6" s="25">
        <f>Summary!F9</f>
        <v>1</v>
      </c>
    </row>
    <row r="7" spans="1:17" x14ac:dyDescent="0.35">
      <c r="A7" s="8" t="str">
        <f>Summary!A105</f>
        <v>BOS Prime</v>
      </c>
      <c r="B7" s="91">
        <f>Summary!B105</f>
        <v>46400</v>
      </c>
      <c r="C7" s="8">
        <f>Summary!C105</f>
        <v>179</v>
      </c>
      <c r="G7" s="22" t="str">
        <f>Summary!A10</f>
        <v>Deva Paint</v>
      </c>
      <c r="H7" s="134">
        <f>Summary!C10</f>
        <v>1</v>
      </c>
      <c r="I7" s="134">
        <f>Summary!D10</f>
        <v>0</v>
      </c>
      <c r="J7" s="134">
        <f>Summary!E10</f>
        <v>72</v>
      </c>
      <c r="K7" s="25">
        <f>Summary!F10</f>
        <v>1.3888888888888888E-2</v>
      </c>
    </row>
    <row r="8" spans="1:17" x14ac:dyDescent="0.35">
      <c r="A8" s="8" t="str">
        <f>Summary!A106</f>
        <v>Britoil 72</v>
      </c>
      <c r="B8" s="91">
        <f>Summary!B106</f>
        <v>44842.341499906484</v>
      </c>
      <c r="C8" s="8">
        <f>Summary!C106</f>
        <v>249.46773891902001</v>
      </c>
      <c r="G8" s="109" t="str">
        <f>Summary!A11</f>
        <v>AI CCTV</v>
      </c>
      <c r="H8" s="134">
        <f>Summary!C11</f>
        <v>5</v>
      </c>
      <c r="I8" s="134">
        <f>Summary!D11</f>
        <v>0</v>
      </c>
      <c r="J8" s="134">
        <f>Summary!E11</f>
        <v>10</v>
      </c>
      <c r="K8" s="25">
        <f>Summary!F11</f>
        <v>0.5</v>
      </c>
    </row>
    <row r="9" spans="1:17" x14ac:dyDescent="0.35">
      <c r="A9" s="8" t="str">
        <f>Summary!A107</f>
        <v>Britoil 41</v>
      </c>
      <c r="B9" s="91">
        <f>Summary!B107</f>
        <v>44460</v>
      </c>
      <c r="C9" s="8">
        <f>Summary!C107</f>
        <v>204.1</v>
      </c>
      <c r="G9" s="109" t="str">
        <f>Summary!A13</f>
        <v>Nautilus Log</v>
      </c>
      <c r="H9" s="134">
        <f>Summary!C13</f>
        <v>70</v>
      </c>
      <c r="I9" s="134">
        <f>Summary!D13</f>
        <v>0</v>
      </c>
      <c r="J9" s="134">
        <f>Summary!E13</f>
        <v>72</v>
      </c>
      <c r="K9" s="25">
        <f>Summary!F13</f>
        <v>0.97222222222222221</v>
      </c>
    </row>
    <row r="10" spans="1:17" x14ac:dyDescent="0.35">
      <c r="A10" s="8" t="str">
        <f>Summary!A108</f>
        <v>Britoil Justice</v>
      </c>
      <c r="B10" s="91">
        <f>Summary!B108</f>
        <v>42400</v>
      </c>
      <c r="C10" s="8">
        <f>Summary!C108</f>
        <v>165</v>
      </c>
      <c r="G10" s="92" t="str">
        <f>Summary!A14</f>
        <v>RE Conversion</v>
      </c>
      <c r="H10" s="134">
        <f>Summary!C14</f>
        <v>1</v>
      </c>
      <c r="I10" s="134">
        <f>Summary!D14</f>
        <v>0</v>
      </c>
      <c r="J10" s="134">
        <f>Summary!E14</f>
        <v>1</v>
      </c>
      <c r="K10" s="110">
        <f>Summary!F14</f>
        <v>1</v>
      </c>
    </row>
    <row r="11" spans="1:17" x14ac:dyDescent="0.35">
      <c r="A11" s="8" t="str">
        <f>Summary!A109</f>
        <v>BOS Principle</v>
      </c>
      <c r="B11" s="91">
        <f>Summary!B109</f>
        <v>38900</v>
      </c>
      <c r="C11" s="8">
        <f>Summary!C109</f>
        <v>165</v>
      </c>
      <c r="G11" t="str">
        <f>Summary!A16</f>
        <v>Shore Generator</v>
      </c>
      <c r="H11" s="143">
        <f>Summary!C16</f>
        <v>2</v>
      </c>
      <c r="I11" s="143">
        <f>Summary!D16</f>
        <v>0</v>
      </c>
      <c r="J11" s="143">
        <f>Summary!E16</f>
        <v>8</v>
      </c>
      <c r="K11" s="142">
        <f>Summary!F16</f>
        <v>0.25</v>
      </c>
    </row>
    <row r="12" spans="1:17" x14ac:dyDescent="0.35">
      <c r="A12" s="8" t="str">
        <f>Summary!A110</f>
        <v>BOS Prudence</v>
      </c>
      <c r="B12" s="91">
        <f>Summary!B110</f>
        <v>36677.454647465871</v>
      </c>
      <c r="C12" s="8">
        <f>Summary!C110</f>
        <v>155.57275107536938</v>
      </c>
      <c r="G12" t="str">
        <f>Summary!A17</f>
        <v>IOW Separator</v>
      </c>
      <c r="H12" s="143">
        <f>Summary!C17</f>
        <v>0</v>
      </c>
      <c r="I12" s="143">
        <f>Summary!D17</f>
        <v>1</v>
      </c>
      <c r="J12" s="143">
        <f>Summary!E17</f>
        <v>1</v>
      </c>
      <c r="K12" s="142">
        <f>Summary!F17</f>
        <v>1</v>
      </c>
    </row>
    <row r="13" spans="1:17" x14ac:dyDescent="0.35">
      <c r="A13" s="8" t="str">
        <f>Summary!A111</f>
        <v>Britoil Discovery</v>
      </c>
      <c r="B13" s="91">
        <f>Summary!B111</f>
        <v>34700</v>
      </c>
      <c r="C13" s="8">
        <f>Summary!C111</f>
        <v>157</v>
      </c>
    </row>
    <row r="14" spans="1:17" x14ac:dyDescent="0.35">
      <c r="A14" s="8" t="str">
        <f>Summary!A112</f>
        <v>BOS Challenge</v>
      </c>
      <c r="B14" s="91">
        <f>Summary!B112</f>
        <v>34358.378530016831</v>
      </c>
      <c r="C14" s="8">
        <f>Summary!C112</f>
        <v>172.72049747521976</v>
      </c>
    </row>
    <row r="15" spans="1:17" x14ac:dyDescent="0.35">
      <c r="A15" s="8" t="str">
        <f>Summary!A113</f>
        <v>Britoil Diamond</v>
      </c>
      <c r="B15" s="91">
        <f>Summary!B113</f>
        <v>33545.99775575089</v>
      </c>
      <c r="C15" s="8">
        <f>Summary!C113</f>
        <v>153.9977089956985</v>
      </c>
    </row>
    <row r="16" spans="1:17" x14ac:dyDescent="0.35">
      <c r="A16" s="8" t="str">
        <f>Summary!A114</f>
        <v>Britoil 73</v>
      </c>
      <c r="B16" s="91">
        <f>Summary!B114</f>
        <v>32394.726014587621</v>
      </c>
      <c r="C16" s="8">
        <f>Summary!C114</f>
        <v>163.01192257340563</v>
      </c>
    </row>
    <row r="17" spans="1:3" x14ac:dyDescent="0.35">
      <c r="A17" s="8" t="str">
        <f>Summary!A115</f>
        <v>BOS Ares</v>
      </c>
      <c r="B17" s="91">
        <f>Summary!B115</f>
        <v>32004.6755189826</v>
      </c>
      <c r="C17" s="8">
        <f>Summary!C115</f>
        <v>178.04899943893773</v>
      </c>
    </row>
    <row r="18" spans="1:3" x14ac:dyDescent="0.35">
      <c r="A18" s="8" t="str">
        <f>Summary!A116</f>
        <v>BOS Patience</v>
      </c>
      <c r="B18" s="91">
        <f>Summary!B116</f>
        <v>31043.458948943335</v>
      </c>
      <c r="C18" s="8">
        <f>Summary!C116</f>
        <v>174.546240882738</v>
      </c>
    </row>
    <row r="19" spans="1:3" x14ac:dyDescent="0.35">
      <c r="A19" s="8" t="str">
        <f>Summary!A117</f>
        <v>BOS Patriot</v>
      </c>
      <c r="B19" s="91">
        <f>Summary!B117</f>
        <v>31043.458948943335</v>
      </c>
      <c r="C19" s="8">
        <f>Summary!C117</f>
        <v>174.546240882738</v>
      </c>
    </row>
    <row r="20" spans="1:3" x14ac:dyDescent="0.35">
      <c r="A20" s="8" t="str">
        <f>Summary!A118</f>
        <v>BOS Precious</v>
      </c>
      <c r="B20" s="91">
        <f>Summary!B118</f>
        <v>28972.470544230411</v>
      </c>
      <c r="C20" s="8">
        <f>Summary!C118</f>
        <v>145.79095754628764</v>
      </c>
    </row>
    <row r="21" spans="1:3" x14ac:dyDescent="0.35">
      <c r="A21" s="8" t="str">
        <f>Summary!A119</f>
        <v>Britoil 60</v>
      </c>
      <c r="B21" s="91">
        <f>Summary!B119</f>
        <v>28470</v>
      </c>
      <c r="C21" s="8">
        <f>Summary!C119</f>
        <v>93.600000000000009</v>
      </c>
    </row>
    <row r="22" spans="1:3" x14ac:dyDescent="0.35">
      <c r="A22" s="8" t="str">
        <f>Summary!A120</f>
        <v>Britoil 61</v>
      </c>
      <c r="B22" s="91">
        <f>Summary!B120</f>
        <v>28470</v>
      </c>
      <c r="C22" s="8">
        <f>Summary!C120</f>
        <v>93.600000000000009</v>
      </c>
    </row>
    <row r="23" spans="1:3" x14ac:dyDescent="0.35">
      <c r="A23" s="8" t="str">
        <f>Summary!A121</f>
        <v>Britoil 74</v>
      </c>
      <c r="B23" s="91">
        <f>Summary!B121</f>
        <v>27514.75126239012</v>
      </c>
      <c r="C23" s="8">
        <f>Summary!C121</f>
        <v>154.70558256966524</v>
      </c>
    </row>
    <row r="24" spans="1:3" x14ac:dyDescent="0.35">
      <c r="A24" s="8" t="str">
        <f>Summary!A122</f>
        <v>Britoil 70</v>
      </c>
      <c r="B24" s="91">
        <f>Summary!B122</f>
        <v>27317.748270057975</v>
      </c>
      <c r="C24" s="8">
        <f>Summary!C122</f>
        <v>153.5979053674958</v>
      </c>
    </row>
    <row r="25" spans="1:3" x14ac:dyDescent="0.35">
      <c r="A25" s="8" t="str">
        <f>Summary!A123</f>
        <v>BOS Thalassa</v>
      </c>
      <c r="B25" s="91">
        <f>Summary!B123</f>
        <v>26854.497849261268</v>
      </c>
      <c r="C25" s="8">
        <f>Summary!C123</f>
        <v>152.29811109033102</v>
      </c>
    </row>
    <row r="26" spans="1:3" x14ac:dyDescent="0.35">
      <c r="A26" s="8" t="str">
        <f>Summary!A124</f>
        <v>Britoil 82</v>
      </c>
      <c r="B26" s="91">
        <f>Summary!B124</f>
        <v>25600.598466429772</v>
      </c>
      <c r="C26" s="8">
        <f>Summary!C124</f>
        <v>82.287637927809996</v>
      </c>
    </row>
    <row r="27" spans="1:3" x14ac:dyDescent="0.35">
      <c r="A27" s="8" t="str">
        <f>Summary!A125</f>
        <v>Britoil 80</v>
      </c>
      <c r="B27" s="91">
        <f>Summary!B125</f>
        <v>25029.156536375536</v>
      </c>
      <c r="C27" s="8">
        <f>Summary!C125</f>
        <v>82.287637927809996</v>
      </c>
    </row>
    <row r="28" spans="1:3" x14ac:dyDescent="0.35">
      <c r="A28" s="8" t="str">
        <f>Summary!A126</f>
        <v>BOS Princess</v>
      </c>
      <c r="B28" s="91">
        <f>Summary!B126</f>
        <v>23900</v>
      </c>
      <c r="C28" s="8">
        <f>Summary!C126</f>
        <v>72</v>
      </c>
    </row>
    <row r="29" spans="1:3" x14ac:dyDescent="0.35">
      <c r="A29" s="8" t="str">
        <f>Summary!A127</f>
        <v>Britoil Destiny</v>
      </c>
      <c r="B29" s="91">
        <f>Summary!B127</f>
        <v>21971.647652889471</v>
      </c>
      <c r="C29" s="8">
        <f>Summary!C127</f>
        <v>70.623153170001871</v>
      </c>
    </row>
    <row r="30" spans="1:3" x14ac:dyDescent="0.35">
      <c r="A30" s="8" t="str">
        <f>Summary!A128</f>
        <v>BOS Athena</v>
      </c>
      <c r="B30" s="91">
        <f>Summary!B128</f>
        <v>21557.172246119317</v>
      </c>
      <c r="C30" s="8">
        <f>Summary!C128</f>
        <v>130.96166074434262</v>
      </c>
    </row>
    <row r="31" spans="1:3" x14ac:dyDescent="0.35">
      <c r="A31" s="8" t="str">
        <f>Summary!A129</f>
        <v>BOS Atlas</v>
      </c>
      <c r="B31" s="91">
        <f>Summary!B129</f>
        <v>21557.172246119317</v>
      </c>
      <c r="C31" s="8">
        <f>Summary!C129</f>
        <v>130.96166074434262</v>
      </c>
    </row>
    <row r="32" spans="1:3" x14ac:dyDescent="0.35">
      <c r="A32" s="8" t="str">
        <f>Summary!A130</f>
        <v>BOS Atlanta</v>
      </c>
      <c r="B32" s="91">
        <f>Summary!B130</f>
        <v>21557.172246119317</v>
      </c>
      <c r="C32" s="8">
        <f>Summary!C130</f>
        <v>130.96166074434262</v>
      </c>
    </row>
    <row r="33" spans="1:3" x14ac:dyDescent="0.35">
      <c r="A33" s="8" t="str">
        <f>Summary!A131</f>
        <v>BOS Purpose</v>
      </c>
      <c r="B33" s="91">
        <f>Summary!B131</f>
        <v>20648.74696091266</v>
      </c>
      <c r="C33" s="8">
        <f>Summary!C131</f>
        <v>67.886291378342989</v>
      </c>
    </row>
    <row r="34" spans="1:3" x14ac:dyDescent="0.35">
      <c r="A34" s="8" t="str">
        <f>Summary!A132</f>
        <v>BOS Chablis</v>
      </c>
      <c r="B34" s="91">
        <f>Summary!B132</f>
        <v>20336.445670469424</v>
      </c>
      <c r="C34" s="8">
        <f>Summary!C132</f>
        <v>66.859547409762484</v>
      </c>
    </row>
    <row r="35" spans="1:3" x14ac:dyDescent="0.35">
      <c r="A35" s="8" t="str">
        <f>Summary!A133</f>
        <v>BOS Champagne</v>
      </c>
      <c r="B35" s="91">
        <f>Summary!B133</f>
        <v>20336.445670469424</v>
      </c>
      <c r="C35" s="8">
        <f>Summary!C133</f>
        <v>66.859547409762484</v>
      </c>
    </row>
    <row r="36" spans="1:3" x14ac:dyDescent="0.35">
      <c r="A36" s="8" t="str">
        <f>Summary!A134</f>
        <v>BOS Apollo</v>
      </c>
      <c r="B36" s="91">
        <f>Summary!B134</f>
        <v>19497.101178230783</v>
      </c>
      <c r="C36" s="8">
        <f>Summary!C134</f>
        <v>109.62521039835421</v>
      </c>
    </row>
    <row r="37" spans="1:3" x14ac:dyDescent="0.35">
      <c r="A37" s="8" t="str">
        <f>Summary!A135</f>
        <v>BOS Hestia</v>
      </c>
      <c r="B37" s="91">
        <f>Summary!B135</f>
        <v>19497.101178230783</v>
      </c>
      <c r="C37" s="8">
        <f>Summary!C135</f>
        <v>109.62521039835421</v>
      </c>
    </row>
    <row r="38" spans="1:3" x14ac:dyDescent="0.35">
      <c r="A38" s="8" t="str">
        <f>Summary!A136</f>
        <v>BOS Tethys</v>
      </c>
      <c r="B38" s="91">
        <f>Summary!B136</f>
        <v>19497.101178230783</v>
      </c>
      <c r="C38" s="8">
        <f>Summary!C136</f>
        <v>109.62521039835421</v>
      </c>
    </row>
    <row r="39" spans="1:3" x14ac:dyDescent="0.35">
      <c r="A39" s="8" t="str">
        <f>Summary!A137</f>
        <v>Britoil Dragon</v>
      </c>
      <c r="B39" s="91">
        <f>Summary!B137</f>
        <v>19323.279409014398</v>
      </c>
      <c r="C39" s="8">
        <f>Summary!C137</f>
        <v>51.00561062277913</v>
      </c>
    </row>
    <row r="40" spans="1:3" x14ac:dyDescent="0.35">
      <c r="A40" s="8" t="str">
        <f>Summary!A138</f>
        <v>Britoil 71</v>
      </c>
      <c r="B40" s="91">
        <f>Summary!B138</f>
        <v>17730.764914905554</v>
      </c>
      <c r="C40" s="8">
        <f>Summary!C138</f>
        <v>65.974939218253226</v>
      </c>
    </row>
    <row r="41" spans="1:3" x14ac:dyDescent="0.35">
      <c r="A41" s="8" t="str">
        <f>Summary!A139</f>
        <v>Britoil 63</v>
      </c>
      <c r="B41" s="91">
        <f>Summary!B139</f>
        <v>26923.976061342808</v>
      </c>
      <c r="C41" s="8">
        <f>Summary!C139</f>
        <v>91.032354591359635</v>
      </c>
    </row>
    <row r="42" spans="1:3" x14ac:dyDescent="0.35">
      <c r="A42" s="8" t="str">
        <f>Summary!A140</f>
        <v>Britoil 67</v>
      </c>
      <c r="B42" s="91">
        <f>Summary!B140</f>
        <v>16894.987843650648</v>
      </c>
      <c r="C42" s="8">
        <f>Summary!C140</f>
        <v>55.545165513371984</v>
      </c>
    </row>
    <row r="43" spans="1:3" x14ac:dyDescent="0.35">
      <c r="A43" s="8" t="str">
        <f>Summary!A141</f>
        <v>Britoil 66</v>
      </c>
      <c r="B43" s="91">
        <f>Summary!B141</f>
        <v>16894.987843650648</v>
      </c>
      <c r="C43" s="8">
        <f>Summary!C141</f>
        <v>55.545165513371984</v>
      </c>
    </row>
    <row r="44" spans="1:3" x14ac:dyDescent="0.35">
      <c r="A44" s="8" t="str">
        <f>Summary!A142</f>
        <v>Britoil 120</v>
      </c>
      <c r="B44" s="91">
        <f>Summary!B142</f>
        <v>14560</v>
      </c>
      <c r="C44" s="8">
        <f>Summary!C142</f>
        <v>10.4</v>
      </c>
    </row>
    <row r="45" spans="1:3" x14ac:dyDescent="0.35">
      <c r="A45" s="8" t="str">
        <f>Summary!A143</f>
        <v>Britoil Diligance</v>
      </c>
      <c r="B45" s="91">
        <f>Summary!B143</f>
        <v>14057.471479334206</v>
      </c>
      <c r="C45" s="8">
        <f>Summary!C143</f>
        <v>97.145128109220124</v>
      </c>
    </row>
    <row r="46" spans="1:3" x14ac:dyDescent="0.35">
      <c r="A46" s="8" t="str">
        <f>Summary!A144</f>
        <v>BOS Prelude</v>
      </c>
      <c r="B46" s="91">
        <f>Summary!B144</f>
        <v>13186.18851692538</v>
      </c>
      <c r="C46" s="8">
        <f>Summary!C144</f>
        <v>59.430708808677764</v>
      </c>
    </row>
    <row r="47" spans="1:3" x14ac:dyDescent="0.35">
      <c r="A47" s="8" t="str">
        <f>Summary!A145</f>
        <v>Nautical Anisha</v>
      </c>
      <c r="B47" s="91">
        <f>Summary!B145</f>
        <v>12171.713110155226</v>
      </c>
      <c r="C47" s="8">
        <f>Summary!C145</f>
        <v>54.858425285206657</v>
      </c>
    </row>
    <row r="48" spans="1:3" x14ac:dyDescent="0.35">
      <c r="A48" s="8" t="str">
        <f>Summary!A146</f>
        <v>Nautical Aisia</v>
      </c>
      <c r="B48" s="91">
        <f>Summary!B146</f>
        <v>12171.713110155226</v>
      </c>
      <c r="C48" s="8">
        <f>Summary!C146</f>
        <v>54.858425285206657</v>
      </c>
    </row>
    <row r="49" spans="1:3" x14ac:dyDescent="0.35">
      <c r="A49" s="8" t="str">
        <f>Summary!A147</f>
        <v>BOS Base</v>
      </c>
      <c r="B49" s="91">
        <f>Summary!B147</f>
        <v>12171.713110155226</v>
      </c>
      <c r="C49" s="8">
        <f>Summary!C147</f>
        <v>54.858425285206657</v>
      </c>
    </row>
    <row r="50" spans="1:3" x14ac:dyDescent="0.35">
      <c r="A50" s="8" t="str">
        <f>Summary!A148</f>
        <v>Paragon Sentinel</v>
      </c>
      <c r="B50" s="91">
        <f>Summary!B148</f>
        <v>10971.685057041332</v>
      </c>
      <c r="C50" s="8">
        <f>Summary!C148</f>
        <v>72.85884608191509</v>
      </c>
    </row>
    <row r="51" spans="1:3" x14ac:dyDescent="0.35">
      <c r="A51" s="8" t="str">
        <f>Summary!A149</f>
        <v>Britoil 62</v>
      </c>
      <c r="B51" s="91">
        <f>Summary!B149</f>
        <v>16894.987843650648</v>
      </c>
      <c r="C51" s="8">
        <f>Summary!C149</f>
        <v>55.545165513371984</v>
      </c>
    </row>
    <row r="52" spans="1:3" x14ac:dyDescent="0.35">
      <c r="A52" s="8" t="str">
        <f>Summary!A150</f>
        <v>Britoil 64</v>
      </c>
      <c r="B52" s="91">
        <f>Summary!B150</f>
        <v>10954.740976248364</v>
      </c>
      <c r="C52" s="8">
        <f>Summary!C150</f>
        <v>49.373480456330654</v>
      </c>
    </row>
    <row r="53" spans="1:3" x14ac:dyDescent="0.35">
      <c r="A53" s="8" t="str">
        <f>Summary!A151</f>
        <v>Britoil 65</v>
      </c>
      <c r="B53" s="91">
        <f>Summary!B151</f>
        <v>10954.740976248364</v>
      </c>
      <c r="C53" s="8">
        <f>Summary!C151</f>
        <v>49.373480456330654</v>
      </c>
    </row>
    <row r="54" spans="1:3" x14ac:dyDescent="0.35">
      <c r="A54" s="8" t="str">
        <f>Summary!A152</f>
        <v>Britoil 121</v>
      </c>
      <c r="B54" s="91">
        <f>Summary!B152</f>
        <v>10660</v>
      </c>
      <c r="C54" s="8">
        <f>Summary!C152</f>
        <v>10.4</v>
      </c>
    </row>
    <row r="55" spans="1:3" x14ac:dyDescent="0.35">
      <c r="A55" s="8" t="str">
        <f>Summary!A153</f>
        <v>ENA Habitat</v>
      </c>
      <c r="B55" s="91">
        <f>Summary!B153</f>
        <v>10543.103609500655</v>
      </c>
      <c r="C55" s="8">
        <f>Summary!C153</f>
        <v>72.85884608191509</v>
      </c>
    </row>
    <row r="56" spans="1:3" x14ac:dyDescent="0.35">
      <c r="A56" s="8" t="str">
        <f>Summary!A154</f>
        <v>Mashhor Princess</v>
      </c>
      <c r="B56" s="91">
        <f>Summary!B154</f>
        <v>10543.103609500655</v>
      </c>
      <c r="C56" s="8">
        <f>Summary!C154</f>
        <v>72.85884608191509</v>
      </c>
    </row>
    <row r="57" spans="1:3" x14ac:dyDescent="0.35">
      <c r="A57" s="8" t="str">
        <f>Summary!A155</f>
        <v>BOS Aphrodite</v>
      </c>
      <c r="B57" s="91">
        <f>Summary!B155</f>
        <v>10447.503272863287</v>
      </c>
      <c r="C57" s="8">
        <f>Summary!C155</f>
        <v>47.087338694595097</v>
      </c>
    </row>
    <row r="58" spans="1:3" x14ac:dyDescent="0.35">
      <c r="A58" s="8" t="str">
        <f>Summary!A156</f>
        <v>Britoil Defender</v>
      </c>
      <c r="B58" s="91">
        <f>Summary!B156</f>
        <v>10286.141761735553</v>
      </c>
      <c r="C58" s="8">
        <f>Summary!C156</f>
        <v>18.00074808303722</v>
      </c>
    </row>
    <row r="59" spans="1:3" x14ac:dyDescent="0.35">
      <c r="A59" s="8" t="str">
        <f>Summary!A157</f>
        <v>Britoil Courage</v>
      </c>
      <c r="B59" s="91">
        <f>Summary!B157</f>
        <v>10142.762296614925</v>
      </c>
      <c r="C59" s="8">
        <f>Summary!C157</f>
        <v>45.71385823826445</v>
      </c>
    </row>
    <row r="60" spans="1:3" x14ac:dyDescent="0.35">
      <c r="A60" s="8" t="str">
        <f>Summary!A158</f>
        <v>BOS Athos</v>
      </c>
      <c r="B60" s="91">
        <f>Summary!B158</f>
        <v>7357.396671030484</v>
      </c>
      <c r="C60" s="8">
        <f>Summary!C158</f>
        <v>42.672900691976807</v>
      </c>
    </row>
    <row r="61" spans="1:3" x14ac:dyDescent="0.35">
      <c r="A61" s="8" t="str">
        <f>Summary!A159</f>
        <v>Britoil 22</v>
      </c>
      <c r="B61" s="91">
        <f>Summary!B159</f>
        <v>7303.160650832242</v>
      </c>
      <c r="C61" s="8">
        <f>Summary!C159</f>
        <v>32.915653637553767</v>
      </c>
    </row>
    <row r="62" spans="1:3" x14ac:dyDescent="0.35">
      <c r="A62" s="8" t="str">
        <f>Summary!A160</f>
        <v>Britoil 21</v>
      </c>
      <c r="B62" s="91">
        <f>Summary!B160</f>
        <v>0</v>
      </c>
      <c r="C62" s="8">
        <f>Summary!C160</f>
        <v>0</v>
      </c>
    </row>
    <row r="63" spans="1:3" x14ac:dyDescent="0.35">
      <c r="A63" s="8" t="str">
        <f>Summary!A161</f>
        <v>Britoil Guardian</v>
      </c>
      <c r="B63" s="91">
        <f>Summary!B161</f>
        <v>0</v>
      </c>
      <c r="C63" s="8">
        <f>Summary!C161</f>
        <v>0</v>
      </c>
    </row>
    <row r="64" spans="1:3" x14ac:dyDescent="0.35">
      <c r="A64" s="8" t="str">
        <f>Summary!A162</f>
        <v>BOS Theia</v>
      </c>
      <c r="B64" s="91">
        <f>Summary!B162</f>
        <v>0</v>
      </c>
      <c r="C64" s="8">
        <f>Summary!C162</f>
        <v>0</v>
      </c>
    </row>
    <row r="65" spans="1:3" x14ac:dyDescent="0.35">
      <c r="A65" s="8" t="str">
        <f>Summary!A163</f>
        <v>BOS Triton</v>
      </c>
      <c r="B65" s="91">
        <f>Summary!B163</f>
        <v>0</v>
      </c>
      <c r="C65" s="8">
        <f>Summary!C163</f>
        <v>0</v>
      </c>
    </row>
    <row r="66" spans="1:3" x14ac:dyDescent="0.35">
      <c r="A66" s="8" t="str">
        <f>Summary!A164</f>
        <v>BOS Pool</v>
      </c>
      <c r="B66" s="91">
        <f>Summary!B164</f>
        <v>0</v>
      </c>
      <c r="C66" s="8">
        <f>Summary!C164</f>
        <v>0</v>
      </c>
    </row>
    <row r="67" spans="1:3" x14ac:dyDescent="0.35">
      <c r="A67" s="8" t="str">
        <f>Summary!A165</f>
        <v>BOS Tramontana</v>
      </c>
      <c r="B67" s="91">
        <f>Summary!B165</f>
        <v>0</v>
      </c>
      <c r="C67" s="8">
        <f>Summary!C165</f>
        <v>0</v>
      </c>
    </row>
    <row r="68" spans="1:3" x14ac:dyDescent="0.35">
      <c r="A68" t="str">
        <f>Summary!A166</f>
        <v>Britoil Dignity</v>
      </c>
      <c r="B68">
        <f>Summary!B166</f>
        <v>0</v>
      </c>
      <c r="C68">
        <f>Summary!C166</f>
        <v>0</v>
      </c>
    </row>
    <row r="69" spans="1:3" x14ac:dyDescent="0.35">
      <c r="A69" t="str">
        <f>Summary!A167</f>
        <v>Britoil Dominance</v>
      </c>
      <c r="B69">
        <f>Summary!B167</f>
        <v>0</v>
      </c>
      <c r="C69">
        <f>Summary!C167</f>
        <v>0</v>
      </c>
    </row>
  </sheetData>
  <sortState xmlns:xlrd2="http://schemas.microsoft.com/office/spreadsheetml/2017/richdata2" ref="A1:C67">
    <sortCondition descending="1" ref="B1:B67"/>
  </sortState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8840DFF5-D7FF-4D74-B670-A69FE6D12F76}">
            <x14:iconSet iconSet="3Triangles" custom="1">
              <x14:cfvo type="percent">
                <xm:f>0</xm:f>
              </x14:cfvo>
              <x14:cfvo type="num">
                <xm:f>0.25</xm:f>
              </x14:cfvo>
              <x14:cfvo type="num">
                <xm:f>0.505</xm:f>
              </x14:cfvo>
              <x14:cfIcon iconSet="3Flags" iconId="0"/>
              <x14:cfIcon iconSet="3Triangles" iconId="1"/>
              <x14:cfIcon iconSet="3Triangles" iconId="2"/>
            </x14:iconSet>
          </x14:cfRule>
          <xm:sqref>K1:K10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2D80-A69F-482A-972F-D14111950C54}">
  <dimension ref="A1:C3"/>
  <sheetViews>
    <sheetView workbookViewId="0">
      <selection activeCell="B2" sqref="B2"/>
    </sheetView>
  </sheetViews>
  <sheetFormatPr defaultRowHeight="14.5" x14ac:dyDescent="0.35"/>
  <cols>
    <col min="2" max="2" width="12" customWidth="1"/>
    <col min="3" max="3" width="12.08984375" customWidth="1"/>
  </cols>
  <sheetData>
    <row r="1" spans="1:3" x14ac:dyDescent="0.35">
      <c r="A1" s="8" t="s">
        <v>122</v>
      </c>
      <c r="B1" s="111">
        <f>Sheet2!E1</f>
        <v>477830.54984103231</v>
      </c>
      <c r="C1" s="91">
        <f>Sheet2!F1</f>
        <v>20775.241297436187</v>
      </c>
    </row>
    <row r="2" spans="1:3" x14ac:dyDescent="0.35">
      <c r="A2" s="8" t="s">
        <v>121</v>
      </c>
      <c r="B2" s="111">
        <f>Sheet2!E2</f>
        <v>393234.93080231902</v>
      </c>
      <c r="C2" s="91">
        <f>Sheet2!F2</f>
        <v>24577.183175144939</v>
      </c>
    </row>
    <row r="3" spans="1:3" x14ac:dyDescent="0.35">
      <c r="A3" s="8" t="s">
        <v>120</v>
      </c>
      <c r="B3" s="111">
        <f>Sheet2!E3</f>
        <v>694442.61548531894</v>
      </c>
      <c r="C3" s="91">
        <f>Sheet2!F3</f>
        <v>24801.521981618534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7682-55BA-4588-BA7D-681086D1612A}">
  <dimension ref="A1:E12"/>
  <sheetViews>
    <sheetView workbookViewId="0">
      <selection activeCell="G11" sqref="G11"/>
    </sheetView>
  </sheetViews>
  <sheetFormatPr defaultRowHeight="14.5" x14ac:dyDescent="0.35"/>
  <cols>
    <col min="6" max="6" width="12.08984375" bestFit="1" customWidth="1"/>
  </cols>
  <sheetData>
    <row r="1" spans="1:5" x14ac:dyDescent="0.35">
      <c r="A1" s="21" t="str">
        <f>Sheet2!G1</f>
        <v>MGPS</v>
      </c>
      <c r="B1" s="134">
        <f>Sheet2!H1</f>
        <v>48</v>
      </c>
      <c r="C1" s="134">
        <f>Sheet2!I1</f>
        <v>1</v>
      </c>
      <c r="D1" s="134">
        <f>Sheet2!J1</f>
        <v>67</v>
      </c>
      <c r="E1" s="135">
        <f>Summary!N3</f>
        <v>681600</v>
      </c>
    </row>
    <row r="2" spans="1:5" x14ac:dyDescent="0.35">
      <c r="A2" s="22" t="str">
        <f>Sheet2!G2</f>
        <v>EFMS</v>
      </c>
      <c r="B2" s="134">
        <f>Sheet2!H2</f>
        <v>17</v>
      </c>
      <c r="C2" s="134">
        <f>Sheet2!I2</f>
        <v>1</v>
      </c>
      <c r="D2" s="134">
        <f>Sheet2!J2</f>
        <v>70</v>
      </c>
      <c r="E2" s="135">
        <f>Summary!N4</f>
        <v>289000</v>
      </c>
    </row>
    <row r="3" spans="1:5" x14ac:dyDescent="0.35">
      <c r="A3" s="22" t="str">
        <f>Sheet2!G3</f>
        <v>IWTM Filter</v>
      </c>
      <c r="B3" s="134">
        <f>Sheet2!H3</f>
        <v>29</v>
      </c>
      <c r="C3" s="134">
        <f>Sheet2!I3</f>
        <v>13</v>
      </c>
      <c r="D3" s="134">
        <f>Sheet2!J3</f>
        <v>44</v>
      </c>
      <c r="E3" s="135">
        <f>Summary!N5</f>
        <v>223300</v>
      </c>
    </row>
    <row r="4" spans="1:5" x14ac:dyDescent="0.35">
      <c r="A4" s="22" t="str">
        <f>Sheet2!G4</f>
        <v>CMCE LP</v>
      </c>
      <c r="B4" s="134">
        <f>Sheet2!H4</f>
        <v>12</v>
      </c>
      <c r="C4" s="134">
        <f>Sheet2!I4</f>
        <v>1</v>
      </c>
      <c r="D4" s="134">
        <f>Sheet2!J4</f>
        <v>45</v>
      </c>
      <c r="E4" s="135">
        <f>Summary!N7</f>
        <v>90000</v>
      </c>
    </row>
    <row r="5" spans="1:5" x14ac:dyDescent="0.35">
      <c r="A5" s="22" t="str">
        <f>Sheet2!G5</f>
        <v>LED lights</v>
      </c>
      <c r="B5" s="134">
        <f>Sheet2!H5</f>
        <v>26</v>
      </c>
      <c r="C5" s="134">
        <f>Sheet2!I5</f>
        <v>2</v>
      </c>
      <c r="D5" s="134">
        <f>Sheet2!J5</f>
        <v>70</v>
      </c>
      <c r="E5" s="135">
        <f>Summary!N8</f>
        <v>319800</v>
      </c>
    </row>
    <row r="6" spans="1:5" x14ac:dyDescent="0.35">
      <c r="A6" s="22" t="str">
        <f>Sheet2!G6</f>
        <v>Chlorinator</v>
      </c>
      <c r="B6" s="134">
        <f>Sheet2!H6</f>
        <v>1</v>
      </c>
      <c r="C6" s="134">
        <f>Sheet2!I6</f>
        <v>1</v>
      </c>
      <c r="D6" s="134">
        <f>Sheet2!J6</f>
        <v>2</v>
      </c>
      <c r="E6" s="135">
        <f>Summary!N9</f>
        <v>12300</v>
      </c>
    </row>
    <row r="7" spans="1:5" x14ac:dyDescent="0.35">
      <c r="A7" s="22" t="str">
        <f>Sheet2!G7</f>
        <v>Deva Paint</v>
      </c>
      <c r="B7" s="134">
        <f>Sheet2!H7</f>
        <v>1</v>
      </c>
      <c r="C7" s="134">
        <f>Sheet2!I7</f>
        <v>0</v>
      </c>
      <c r="D7" s="134">
        <f>Sheet2!J7</f>
        <v>72</v>
      </c>
      <c r="E7" s="135">
        <f>Summary!N11</f>
        <v>20000</v>
      </c>
    </row>
    <row r="8" spans="1:5" x14ac:dyDescent="0.35">
      <c r="A8" s="109" t="str">
        <f>Sheet2!G8</f>
        <v>AI CCTV</v>
      </c>
      <c r="B8" s="134">
        <f>Sheet2!H8</f>
        <v>5</v>
      </c>
      <c r="C8" s="134">
        <f>Sheet2!I8</f>
        <v>0</v>
      </c>
      <c r="D8" s="134">
        <f>Sheet2!J8</f>
        <v>10</v>
      </c>
      <c r="E8" s="135">
        <f>Summary!N13</f>
        <v>210000</v>
      </c>
    </row>
    <row r="9" spans="1:5" x14ac:dyDescent="0.35">
      <c r="A9" s="109" t="str">
        <f>Sheet2!G9</f>
        <v>Nautilus Log</v>
      </c>
      <c r="B9" s="134">
        <f>Sheet2!H9</f>
        <v>70</v>
      </c>
      <c r="C9" s="134">
        <f>Sheet2!I9</f>
        <v>0</v>
      </c>
      <c r="D9" s="134">
        <f>Sheet2!J9</f>
        <v>72</v>
      </c>
      <c r="E9" s="135">
        <f>Summary!N14</f>
        <v>1500</v>
      </c>
    </row>
    <row r="10" spans="1:5" x14ac:dyDescent="0.35">
      <c r="A10" s="92" t="str">
        <f>Sheet2!G10</f>
        <v>RE Conversion</v>
      </c>
      <c r="B10" s="134">
        <f>Sheet2!H10</f>
        <v>1</v>
      </c>
      <c r="C10" s="134">
        <f>Sheet2!I10</f>
        <v>0</v>
      </c>
      <c r="D10" s="134">
        <f>Sheet2!J10</f>
        <v>1</v>
      </c>
      <c r="E10" s="135">
        <f>Summary!N17</f>
        <v>0</v>
      </c>
    </row>
    <row r="11" spans="1:5" x14ac:dyDescent="0.35">
      <c r="A11" t="str">
        <f>Sheet2!G11</f>
        <v>Shore Generator</v>
      </c>
      <c r="B11">
        <f>Sheet2!H11</f>
        <v>2</v>
      </c>
      <c r="C11">
        <f>Sheet2!I11</f>
        <v>0</v>
      </c>
      <c r="D11">
        <f>Sheet2!J11</f>
        <v>8</v>
      </c>
      <c r="E11" s="135">
        <f>Summary!N18</f>
        <v>0</v>
      </c>
    </row>
    <row r="12" spans="1:5" x14ac:dyDescent="0.35">
      <c r="A12" t="str">
        <f>Sheet2!G12</f>
        <v>IOW Separator</v>
      </c>
      <c r="B12">
        <f>Sheet2!H12</f>
        <v>0</v>
      </c>
      <c r="C12">
        <f>Sheet2!I12</f>
        <v>1</v>
      </c>
      <c r="D12">
        <f>Sheet2!J12</f>
        <v>1</v>
      </c>
      <c r="E12" s="135">
        <f>Summary!N19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Tracker</vt:lpstr>
      <vt:lpstr>Summary</vt:lpstr>
      <vt:lpstr>Sheet1</vt:lpstr>
      <vt:lpstr>Sheet2</vt:lpstr>
      <vt:lpstr>Sheet3</vt:lpstr>
      <vt:lpstr>Sheet4</vt:lpstr>
      <vt:lpstr>BOSDubai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Axel Faurax</dc:creator>
  <cp:keywords/>
  <dc:description/>
  <cp:lastModifiedBy>Axel Faurax</cp:lastModifiedBy>
  <cp:revision/>
  <dcterms:created xsi:type="dcterms:W3CDTF">2024-08-19T03:53:57Z</dcterms:created>
  <dcterms:modified xsi:type="dcterms:W3CDTF">2025-10-21T14:49:39Z</dcterms:modified>
  <cp:category/>
  <cp:contentStatus/>
</cp:coreProperties>
</file>